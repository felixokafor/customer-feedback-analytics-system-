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Excel Practice\Portfolios\Google Forms portfolio\"/>
    </mc:Choice>
  </mc:AlternateContent>
  <xr:revisionPtr revIDLastSave="0" documentId="13_ncr:1_{66F6D5D0-3A82-46A0-95C1-D15CAA95D5D0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Sheet1" sheetId="3" r:id="rId1"/>
    <sheet name="Raw Data(From Google Form)" sheetId="1" r:id="rId2"/>
    <sheet name="Cleaned Data" sheetId="2" r:id="rId3"/>
    <sheet name="Analytics" sheetId="4" r:id="rId4"/>
    <sheet name="BUSINESS INSIGHTS" sheetId="6" r:id="rId5"/>
    <sheet name="Dashboard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4" l="1"/>
  <c r="C36" i="4"/>
  <c r="C35" i="4"/>
  <c r="C32" i="4"/>
  <c r="H23" i="4"/>
  <c r="H24" i="4"/>
  <c r="H25" i="4"/>
  <c r="H26" i="4"/>
  <c r="E25" i="4"/>
  <c r="B27" i="4"/>
  <c r="B26" i="4"/>
  <c r="B25" i="4"/>
  <c r="B24" i="4"/>
  <c r="B23" i="4"/>
  <c r="E23" i="4"/>
  <c r="E24" i="4"/>
  <c r="C14" i="4"/>
  <c r="C13" i="4"/>
  <c r="C15" i="4"/>
  <c r="C16" i="4"/>
  <c r="C17" i="4" a="1"/>
  <c r="C17" i="4" s="1"/>
  <c r="C34" i="4"/>
  <c r="C33" i="4"/>
  <c r="E7" i="2" l="1"/>
  <c r="E9" i="4"/>
  <c r="E5" i="2"/>
  <c r="E11" i="4"/>
  <c r="E8" i="2"/>
  <c r="E2" i="2"/>
  <c r="E2" i="4"/>
  <c r="E11" i="2"/>
  <c r="E10" i="4"/>
  <c r="E6" i="4"/>
  <c r="E9" i="2"/>
  <c r="E4" i="4"/>
  <c r="E6" i="2"/>
  <c r="E10" i="2"/>
  <c r="E8" i="4"/>
  <c r="E3" i="4"/>
  <c r="E4" i="2"/>
  <c r="E3" i="2"/>
  <c r="E5" i="4"/>
  <c r="E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<sst xmlns="http://schemas.openxmlformats.org/spreadsheetml/2006/main" count="336" uniqueCount="101">
  <si>
    <t>Timestamp</t>
  </si>
  <si>
    <t>Email Address</t>
  </si>
  <si>
    <t>Full Name</t>
  </si>
  <si>
    <t>Age Range</t>
  </si>
  <si>
    <t>Location</t>
  </si>
  <si>
    <t>How satisfied are you?</t>
  </si>
  <si>
    <t>Was your issue resolved?</t>
  </si>
  <si>
    <t>How long did it take?</t>
  </si>
  <si>
    <t>Service Speed</t>
  </si>
  <si>
    <t xml:space="preserve">Staff Professionalism </t>
  </si>
  <si>
    <t>Ease of Use</t>
  </si>
  <si>
    <t>Would you recommend us?</t>
  </si>
  <si>
    <t>Additional comments</t>
  </si>
  <si>
    <t>msuleiman857@gmail.com</t>
  </si>
  <si>
    <t>Suleiman</t>
  </si>
  <si>
    <t>18-25</t>
  </si>
  <si>
    <t>lokoja</t>
  </si>
  <si>
    <t>No</t>
  </si>
  <si>
    <t>5-15 min</t>
  </si>
  <si>
    <t>Yes</t>
  </si>
  <si>
    <t>obenenoblec@gmail.com</t>
  </si>
  <si>
    <t xml:space="preserve">OBENE NOBLE </t>
  </si>
  <si>
    <t>26-35</t>
  </si>
  <si>
    <t>Ilorin</t>
  </si>
  <si>
    <t>Maybe</t>
  </si>
  <si>
    <t>&lt;5 min</t>
  </si>
  <si>
    <t xml:space="preserve">SATISFACTORY </t>
  </si>
  <si>
    <t>jhauwa13@gmail.com</t>
  </si>
  <si>
    <t>Ummi Naasir</t>
  </si>
  <si>
    <t>Lokoja,kogi state</t>
  </si>
  <si>
    <t>Excellent</t>
  </si>
  <si>
    <t>eguda30@gmail.com</t>
  </si>
  <si>
    <t xml:space="preserve">Eguda Daniel omojo </t>
  </si>
  <si>
    <t xml:space="preserve">Kaduna </t>
  </si>
  <si>
    <t xml:space="preserve">No further comment </t>
  </si>
  <si>
    <t>okekeifeanyipeter6@gmail.com</t>
  </si>
  <si>
    <t>Peter Samson</t>
  </si>
  <si>
    <t>KOGI STATE</t>
  </si>
  <si>
    <t>15-30 min</t>
  </si>
  <si>
    <t>🤲</t>
  </si>
  <si>
    <t>mayowaolamide94@gmail.com</t>
  </si>
  <si>
    <t xml:space="preserve">Alao Mayowa Olamide </t>
  </si>
  <si>
    <t xml:space="preserve">Lagos </t>
  </si>
  <si>
    <t xml:space="preserve">It’s amazing </t>
  </si>
  <si>
    <t>anajembaebube@gmail.com</t>
  </si>
  <si>
    <t xml:space="preserve">Ebube Pascal Anajemba </t>
  </si>
  <si>
    <t>Lokoja</t>
  </si>
  <si>
    <t>None</t>
  </si>
  <si>
    <t>oguche630@gmail.com</t>
  </si>
  <si>
    <t>Israel Oguche</t>
  </si>
  <si>
    <t>Lagos</t>
  </si>
  <si>
    <t>favourogbaoldskul@gmail.com</t>
  </si>
  <si>
    <t>Ogba favour</t>
  </si>
  <si>
    <t>Thanks</t>
  </si>
  <si>
    <t>okutepapeter2@gmail.com</t>
  </si>
  <si>
    <t xml:space="preserve">Okutepa Peter </t>
  </si>
  <si>
    <t>Paiko</t>
  </si>
  <si>
    <t xml:space="preserve">Obene Noble </t>
  </si>
  <si>
    <t xml:space="preserve">Eguda Daniel Omojo </t>
  </si>
  <si>
    <t>Ogba Favour</t>
  </si>
  <si>
    <t>GOOGLE FORMS + SHEETS PORTFOLIO PROJECT
Project Title: Customer Feedback &amp; Service Analytics System</t>
  </si>
  <si>
    <t xml:space="preserve">1. PROJECT CONCEPT (REAL-WORLD USE CASE)
You are building a system that:
</t>
  </si>
  <si>
    <t xml:space="preserve">•	Collects customer feedback via Google Forms.
•	Stores responses in Google Sheets automatically.
•	Analyzes satisfaction, trends, and service performance.
•	Generates insights for business decisions.
</t>
  </si>
  <si>
    <t xml:space="preserve">Average Satisfaction Score </t>
  </si>
  <si>
    <t>Resolution Rate (%)</t>
  </si>
  <si>
    <t>Average Service Speed Score</t>
  </si>
  <si>
    <t>Customer Recommendation Rate</t>
  </si>
  <si>
    <t>Most Used Service Type</t>
  </si>
  <si>
    <t>Service Used</t>
  </si>
  <si>
    <t>Banking</t>
  </si>
  <si>
    <t>Retail</t>
  </si>
  <si>
    <t>Online Service</t>
  </si>
  <si>
    <t>Support Desk</t>
  </si>
  <si>
    <t xml:space="preserve">Resolution </t>
  </si>
  <si>
    <t>Count</t>
  </si>
  <si>
    <t>Rating</t>
  </si>
  <si>
    <t>Numbers of customers</t>
  </si>
  <si>
    <r>
      <t xml:space="preserve">Summary Table(Customer </t>
    </r>
    <r>
      <rPr>
        <sz val="9"/>
        <color theme="0"/>
        <rFont val="Arial"/>
        <family val="2"/>
        <scheme val="minor"/>
      </rPr>
      <t>R</t>
    </r>
    <r>
      <rPr>
        <b/>
        <sz val="9"/>
        <color theme="0"/>
        <rFont val="Arial"/>
        <family val="2"/>
        <scheme val="minor"/>
      </rPr>
      <t>ating)</t>
    </r>
  </si>
  <si>
    <t>Summary Table(Resolution Rate)</t>
  </si>
  <si>
    <t>Summary Table(Service Used)</t>
  </si>
  <si>
    <t>Speed vs Satisfaction</t>
  </si>
  <si>
    <t>Speed</t>
  </si>
  <si>
    <t>Satisfaction</t>
  </si>
  <si>
    <t>Row Labels</t>
  </si>
  <si>
    <t>Grand Total</t>
  </si>
  <si>
    <t>Average of How satisfied are you?</t>
  </si>
  <si>
    <t>Kogi State</t>
  </si>
  <si>
    <t>Lokoja,Kogi State</t>
  </si>
  <si>
    <t>Average Satisfaction by Service Type</t>
  </si>
  <si>
    <t>Location Performance</t>
  </si>
  <si>
    <t>Sum of Service Speed</t>
  </si>
  <si>
    <t>Max of Service Speed</t>
  </si>
  <si>
    <t>Service type with highest satisfaction</t>
  </si>
  <si>
    <t>BUSINESS INSIGHTS</t>
  </si>
  <si>
    <t>SUMMARY TABLE</t>
  </si>
  <si>
    <t>Max of How satisfied are you?</t>
  </si>
  <si>
    <t>Locations with highest service performance</t>
  </si>
  <si>
    <t xml:space="preserve">Max of satisfaction of customer </t>
  </si>
  <si>
    <t>Sum of service speed</t>
  </si>
  <si>
    <t>Most used service type</t>
  </si>
  <si>
    <t>Average customer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</si>
</sst>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5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4"/>
      <color theme="3"/>
      <name val="Arial"/>
      <family val="2"/>
      <scheme val="minor"/>
    </font>
    <font>
      <b/>
      <sz val="8"/>
      <color rgb="FF252525"/>
      <name val="Arial"/>
      <family val="2"/>
    </font>
    <font>
      <sz val="10"/>
      <color rgb="FF252525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9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rgb="FF252525"/>
      <name val="Arial"/>
      <family val="2"/>
    </font>
    <font>
      <b/>
      <sz val="14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3">
    <xf numFmtId="0" fontId="0" fillId="0" borderId="0"/>
    <xf numFmtId="0" fontId="4" fillId="0" borderId="1" applyNumberFormat="0" applyFill="0" applyAlignment="0" applyProtection="0"/>
    <xf numFmtId="0" fontId="1" fillId="2" borderId="0" applyNumberFormat="0" applyBorder="0" applyAlignment="0" applyProtection="0"/>
  </cellStyleXfs>
  <cellXfs count="43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9" fillId="0" borderId="0" xfId="0" applyFont="1" applyAlignment="1"/>
    <xf numFmtId="0" fontId="6" fillId="0" borderId="0" xfId="0" applyFont="1" applyAlignment="1"/>
    <xf numFmtId="0" fontId="10" fillId="2" borderId="0" xfId="2" applyFont="1" applyAlignment="1"/>
    <xf numFmtId="0" fontId="11" fillId="2" borderId="0" xfId="2" applyFont="1" applyAlignment="1"/>
    <xf numFmtId="9" fontId="11" fillId="2" borderId="0" xfId="2" applyNumberFormat="1" applyFont="1" applyAlignment="1"/>
    <xf numFmtId="0" fontId="11" fillId="2" borderId="0" xfId="2" applyFont="1" applyAlignment="1">
      <alignment horizontal="right"/>
    </xf>
    <xf numFmtId="2" fontId="2" fillId="0" borderId="0" xfId="0" applyNumberFormat="1" applyFont="1" applyAlignment="1">
      <alignment vertical="center"/>
    </xf>
    <xf numFmtId="0" fontId="0" fillId="0" borderId="3" xfId="0" pivotButton="1" applyFont="1" applyBorder="1" applyAlignment="1"/>
    <xf numFmtId="0" fontId="0" fillId="0" borderId="5" xfId="0" applyFont="1" applyBorder="1" applyAlignment="1"/>
    <xf numFmtId="0" fontId="0" fillId="0" borderId="3" xfId="0" applyFont="1" applyBorder="1" applyAlignment="1">
      <alignment horizontal="left"/>
    </xf>
    <xf numFmtId="0" fontId="0" fillId="0" borderId="5" xfId="0" applyNumberFormat="1" applyFont="1" applyBorder="1" applyAlignment="1"/>
    <xf numFmtId="0" fontId="0" fillId="0" borderId="4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8" xfId="0" applyFont="1" applyBorder="1" applyAlignment="1">
      <alignment horizontal="left"/>
    </xf>
    <xf numFmtId="0" fontId="0" fillId="0" borderId="7" xfId="0" applyNumberFormat="1" applyFont="1" applyBorder="1" applyAlignment="1"/>
    <xf numFmtId="0" fontId="20" fillId="0" borderId="0" xfId="0" applyFont="1" applyAlignment="1">
      <alignment vertical="center"/>
    </xf>
    <xf numFmtId="0" fontId="19" fillId="0" borderId="0" xfId="0" applyFont="1" applyAlignment="1"/>
    <xf numFmtId="0" fontId="18" fillId="0" borderId="0" xfId="0" applyFont="1" applyAlignment="1"/>
    <xf numFmtId="9" fontId="0" fillId="0" borderId="0" xfId="0" applyNumberFormat="1" applyFont="1" applyAlignment="1"/>
    <xf numFmtId="0" fontId="7" fillId="0" borderId="1" xfId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21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</cellXfs>
  <cellStyles count="3">
    <cellStyle name="40% - Accent4" xfId="2" builtinId="43"/>
    <cellStyle name="Heading 1" xfId="1" builtinId="16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Resolution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Analytics!$E$22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8-45FE-9E9F-F48EA7428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8-45FE-9E9F-F48EA7428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8-45FE-9E9F-F48EA74281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Analytics!$D$23:$D$25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Analytics!$E$23:$E$25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68-45FE-9E9F-F48EA74281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Satisfaction</a:t>
            </a:r>
            <a:r>
              <a:rPr lang="en-US" b="1" baseline="0"/>
              <a:t> Ratings </a:t>
            </a:r>
            <a:endParaRPr lang="en-US" b="1"/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Analytics!$A$22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Analytics!$A$23:$A$27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8-4B2A-819C-399DA1ED0D6E}"/>
            </c:ext>
          </c:extLst>
        </c:ser>
        <c:ser>
          <c:idx val="1"/>
          <c:order val="1"/>
          <c:tx>
            <c:strRef>
              <c:f>Analytics!$B$22</c:f>
              <c:strCache>
                <c:ptCount val="1"/>
                <c:pt idx="0">
                  <c:v>Numbers of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Analytics!$B$23:$B$27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8-4B2A-819C-399DA1ED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96767"/>
        <c:axId val="818100095"/>
      </c:barChart>
      <c:catAx>
        <c:axId val="81809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00095"/>
        <c:crosses val="autoZero"/>
        <c:auto val="1"/>
        <c:lblAlgn val="ctr"/>
        <c:lblOffset val="100"/>
        <c:noMultiLvlLbl val="0"/>
      </c:catAx>
      <c:valAx>
        <c:axId val="8181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 Type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90-4908-AAF5-707815DBC6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90-4908-AAF5-707815DBC6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90-4908-AAF5-707815DBC68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90-4908-AAF5-707815DBC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Analytics!$G$23:$G$26</c:f>
              <c:strCache>
                <c:ptCount val="4"/>
                <c:pt idx="0">
                  <c:v>Banking</c:v>
                </c:pt>
                <c:pt idx="1">
                  <c:v>Support Desk</c:v>
                </c:pt>
                <c:pt idx="2">
                  <c:v>Online Service</c:v>
                </c:pt>
                <c:pt idx="3">
                  <c:v>Retail</c:v>
                </c:pt>
              </c:strCache>
            </c:strRef>
          </c:cat>
          <c:val>
            <c:numRef>
              <c:f>Analytics!$H$23:$H$26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90-4908-AAF5-707815DBC6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vs Customer satisfaction</a:t>
            </a:r>
          </a:p>
        </c:rich>
      </c:tx>
      <c:overlay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Analytics!$K$22</c:f>
              <c:strCache>
                <c:ptCount val="1"/>
                <c:pt idx="0">
                  <c:v>Satisfaction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Analytics!$J$23:$J$27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Analytics!$K$23:$K$27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C-4CFB-A479-71BCAD4E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94335"/>
        <c:axId val="664101407"/>
      </c:scatterChart>
      <c:valAx>
        <c:axId val="66409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1407"/>
        <c:crosses val="autoZero"/>
        <c:crossBetween val="midCat"/>
      </c:valAx>
      <c:valAx>
        <c:axId val="6641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9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0</xdr:rowOff>
    </xdr:from>
    <xdr:to>
      <xdr:col>11</xdr:col>
      <xdr:colOff>47624</xdr:colOff>
      <xdr:row>43</xdr:row>
      <xdr:rowOff>107155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C709B5-B5F4-454B-94F6-41F1E0E2A11F}"/>
            </a:ext>
          </a:extLst>
        </xdr:cNvPr>
        <xdr:cNvSpPr/>
      </xdr:nvSpPr>
      <xdr:spPr>
        <a:xfrm>
          <a:off x="104774" y="0"/>
          <a:ext cx="15885319" cy="8810624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1359686</xdr:colOff>
      <xdr:row>5</xdr:row>
      <xdr:rowOff>19050</xdr:rowOff>
    </xdr:from>
    <xdr:to>
      <xdr:col>9</xdr:col>
      <xdr:colOff>1293011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FC8B86-34DD-4AA3-917A-35B5D1D8F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5</xdr:row>
      <xdr:rowOff>28575</xdr:rowOff>
    </xdr:from>
    <xdr:to>
      <xdr:col>4</xdr:col>
      <xdr:colOff>171450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2195B8-59DE-4280-967E-240B3A6B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1359686</xdr:colOff>
      <xdr:row>19</xdr:row>
      <xdr:rowOff>180975</xdr:rowOff>
    </xdr:from>
    <xdr:to>
      <xdr:col>9</xdr:col>
      <xdr:colOff>1293011</xdr:colOff>
      <xdr:row>33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A8E153-8E89-48EE-B9F1-72015A326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19</xdr:row>
      <xdr:rowOff>180975</xdr:rowOff>
    </xdr:from>
    <xdr:to>
      <xdr:col>4</xdr:col>
      <xdr:colOff>171450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347823-E14F-4B45-9266-330A8B9A0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3.559863888891" createdVersion="7" refreshedVersion="7" minRefreshableVersion="3" recordCount="10" xr:uid="{45EDD8B4-6AA5-45B1-B9DC-81A0A05E7DD5}">
  <cacheSource type="worksheet">
    <worksheetSource name="Form_Responses34"/>
  </cacheSource>
  <cacheFields count="14">
    <cacheField name="Timestamp" numFmtId="164">
      <sharedItems containsSemiMixedTypes="0" containsNonDate="0" containsDate="1" containsString="0" minDate="2026-04-10T15:31:35" maxDate="2026-04-13T10:08:29"/>
    </cacheField>
    <cacheField name="Email Address" numFmtId="0">
      <sharedItems/>
    </cacheField>
    <cacheField name="Full Name" numFmtId="0">
      <sharedItems/>
    </cacheField>
    <cacheField name="Age Range" numFmtId="2">
      <sharedItems/>
    </cacheField>
    <cacheField name="Location" numFmtId="0">
      <sharedItems count="8">
        <s v="Lokoja"/>
        <s v="Ilorin"/>
        <s v="Lokoja,Kogi State"/>
        <s v="Kaduna "/>
        <s v="Kogi State"/>
        <s v="Lagos "/>
        <s v="Lagos"/>
        <s v="Paiko"/>
      </sharedItems>
    </cacheField>
    <cacheField name="Service Used" numFmtId="0">
      <sharedItems count="4">
        <s v="Banking"/>
        <s v="Support Desk"/>
        <s v="Retail"/>
        <s v="Online Service"/>
      </sharedItems>
    </cacheField>
    <cacheField name="How satisfied are you?" numFmtId="0">
      <sharedItems containsSemiMixedTypes="0" containsString="0" containsNumber="1" containsInteger="1" minValue="2" maxValue="5"/>
    </cacheField>
    <cacheField name="Was your issue resolved?" numFmtId="0">
      <sharedItems/>
    </cacheField>
    <cacheField name="How long did it take?" numFmtId="0">
      <sharedItems/>
    </cacheField>
    <cacheField name="Service Speed" numFmtId="0">
      <sharedItems containsSemiMixedTypes="0" containsString="0" containsNumber="1" containsInteger="1" minValue="1" maxValue="5"/>
    </cacheField>
    <cacheField name="Staff Professionalism " numFmtId="0">
      <sharedItems containsSemiMixedTypes="0" containsString="0" containsNumber="1" containsInteger="1" minValue="1" maxValue="5"/>
    </cacheField>
    <cacheField name="Ease of Use" numFmtId="0">
      <sharedItems containsSemiMixedTypes="0" containsString="0" containsNumber="1" containsInteger="1" minValue="1" maxValue="5"/>
    </cacheField>
    <cacheField name="Would you recommend us?" numFmtId="0">
      <sharedItems/>
    </cacheField>
    <cacheField name="Additional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4-10T15:31:35"/>
    <s v="msuleiman857@gmail.com"/>
    <s v="Suleiman"/>
    <s v="18-25"/>
    <x v="0"/>
    <x v="0"/>
    <n v="2"/>
    <s v="No"/>
    <s v="5-15 min"/>
    <n v="2"/>
    <n v="2"/>
    <n v="1"/>
    <s v="Yes"/>
    <m/>
  </r>
  <r>
    <d v="2026-04-10T15:41:50"/>
    <s v="obenenoblec@gmail.com"/>
    <s v="Obene Noble "/>
    <s v="26-35"/>
    <x v="1"/>
    <x v="1"/>
    <n v="4"/>
    <s v="Maybe"/>
    <s v="&lt;5 min"/>
    <n v="4"/>
    <n v="5"/>
    <n v="5"/>
    <s v="Yes"/>
    <s v="SATISFACTORY "/>
  </r>
  <r>
    <d v="2026-04-10T15:46:10"/>
    <s v="jhauwa13@gmail.com"/>
    <s v="Ummi Naasir"/>
    <s v="18-25"/>
    <x v="2"/>
    <x v="2"/>
    <n v="5"/>
    <s v="Maybe"/>
    <s v="&lt;5 min"/>
    <n v="1"/>
    <n v="5"/>
    <n v="5"/>
    <s v="Yes"/>
    <s v="Excellent"/>
  </r>
  <r>
    <d v="2026-04-10T16:02:53"/>
    <s v="eguda30@gmail.com"/>
    <s v="Eguda Daniel Omojo "/>
    <s v="18-25"/>
    <x v="3"/>
    <x v="0"/>
    <n v="4"/>
    <s v="Yes"/>
    <s v="5-15 min"/>
    <n v="3"/>
    <n v="3"/>
    <n v="3"/>
    <s v="Yes"/>
    <s v="No further comment "/>
  </r>
  <r>
    <d v="2026-04-10T16:12:19"/>
    <s v="okekeifeanyipeter6@gmail.com"/>
    <s v="Peter Samson"/>
    <s v="18-25"/>
    <x v="4"/>
    <x v="3"/>
    <n v="3"/>
    <s v="Maybe"/>
    <s v="15-30 min"/>
    <n v="3"/>
    <n v="4"/>
    <n v="4"/>
    <s v="Maybe"/>
    <s v="🤲"/>
  </r>
  <r>
    <d v="2026-04-10T17:01:48"/>
    <s v="mayowaolamide94@gmail.com"/>
    <s v="Alao Mayowa Olamide "/>
    <s v="18-25"/>
    <x v="5"/>
    <x v="2"/>
    <n v="5"/>
    <s v="Yes"/>
    <s v="&lt;5 min"/>
    <n v="5"/>
    <n v="5"/>
    <n v="5"/>
    <s v="Yes"/>
    <s v="It’s amazing "/>
  </r>
  <r>
    <d v="2026-04-10T19:13:06"/>
    <s v="anajembaebube@gmail.com"/>
    <s v="Ebube Pascal Anajemba "/>
    <s v="18-25"/>
    <x v="0"/>
    <x v="1"/>
    <n v="3"/>
    <s v="Maybe"/>
    <s v="&lt;5 min"/>
    <n v="5"/>
    <n v="3"/>
    <n v="3"/>
    <s v="Maybe"/>
    <s v="None"/>
  </r>
  <r>
    <d v="2026-04-10T21:29:59"/>
    <s v="oguche630@gmail.com"/>
    <s v="Israel Oguche"/>
    <s v="18-25"/>
    <x v="6"/>
    <x v="0"/>
    <n v="4"/>
    <s v="Yes"/>
    <s v="&lt;5 min"/>
    <n v="4"/>
    <n v="5"/>
    <n v="4"/>
    <s v="Yes"/>
    <m/>
  </r>
  <r>
    <d v="2026-04-11T21:11:39"/>
    <s v="favourogbaoldskul@gmail.com"/>
    <s v="Ogba Favour"/>
    <s v="18-25"/>
    <x v="0"/>
    <x v="3"/>
    <n v="5"/>
    <s v="No"/>
    <s v="&lt;5 min"/>
    <n v="5"/>
    <n v="5"/>
    <n v="5"/>
    <s v="Yes"/>
    <s v="Thanks"/>
  </r>
  <r>
    <d v="2026-04-13T10:08:29"/>
    <s v="okutepapeter2@gmail.com"/>
    <s v="Okutepa Peter "/>
    <s v="26-35"/>
    <x v="7"/>
    <x v="0"/>
    <n v="4"/>
    <s v="Yes"/>
    <s v="&lt;5 min"/>
    <n v="1"/>
    <n v="1"/>
    <n v="1"/>
    <s v="Y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7D790-A6BD-4CAB-BDDA-89B5FBD60CB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B21" firstHeaderRow="1" firstDataRow="1" firstDataCol="1"/>
  <pivotFields count="14">
    <pivotField numFmtId="164" showAll="0"/>
    <pivotField showAll="0"/>
    <pivotField showAll="0"/>
    <pivotField showAll="0"/>
    <pivotField showAll="0">
      <items count="9">
        <item x="1"/>
        <item x="3"/>
        <item x="4"/>
        <item x="6"/>
        <item x="5"/>
        <item x="0"/>
        <item x="2"/>
        <item x="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How satisfied are you?" fld="6" subtotal="max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DCD0F-42AE-4193-80F8-F9C2CD0BCC3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12" firstHeaderRow="1" firstDataRow="1" firstDataCol="1"/>
  <pivotFields count="14">
    <pivotField numFmtId="164" showAll="0"/>
    <pivotField showAll="0"/>
    <pivotField showAll="0"/>
    <pivotField showAll="0"/>
    <pivotField axis="axisRow" showAll="0">
      <items count="9">
        <item x="1"/>
        <item x="3"/>
        <item x="4"/>
        <item x="6"/>
        <item x="5"/>
        <item x="0"/>
        <item x="2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ax of Service Speed" fld="9" subtotal="max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63BC3-6F60-4ABD-9D28-250DB4F9290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4">
    <pivotField numFmtId="164"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How satisfied are you?" fld="6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19FF9-4165-4248-AC12-3FE3B37A232A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6:F25" firstHeaderRow="1" firstDataRow="1" firstDataCol="1"/>
  <pivotFields count="14">
    <pivotField numFmtId="164" showAll="0"/>
    <pivotField showAll="0"/>
    <pivotField showAll="0"/>
    <pivotField showAll="0"/>
    <pivotField axis="axisRow" showAll="0">
      <items count="9">
        <item x="1"/>
        <item x="3"/>
        <item x="4"/>
        <item x="6"/>
        <item x="5"/>
        <item x="0"/>
        <item x="2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ervice Speed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11">
  <tableColumns count="13">
    <tableColumn id="1" xr3:uid="{00000000-0010-0000-0000-000001000000}" name="Timestamp"/>
    <tableColumn id="2" xr3:uid="{00000000-0010-0000-0000-000002000000}" name="Email Address"/>
    <tableColumn id="3" xr3:uid="{00000000-0010-0000-0000-000003000000}" name="Full Name"/>
    <tableColumn id="4" xr3:uid="{00000000-0010-0000-0000-000004000000}" name="Age Range"/>
    <tableColumn id="5" xr3:uid="{00000000-0010-0000-0000-000005000000}" name="Location"/>
    <tableColumn id="6" xr3:uid="{00000000-0010-0000-0000-000006000000}" name="How satisfied are you?"/>
    <tableColumn id="7" xr3:uid="{00000000-0010-0000-0000-000007000000}" name="Was your issue resolved?"/>
    <tableColumn id="8" xr3:uid="{00000000-0010-0000-0000-000008000000}" name="How long did it take?"/>
    <tableColumn id="9" xr3:uid="{00000000-0010-0000-0000-000009000000}" name="Service Speed"/>
    <tableColumn id="10" xr3:uid="{00000000-0010-0000-0000-00000A000000}" name="Staff Professionalism "/>
    <tableColumn id="11" xr3:uid="{00000000-0010-0000-0000-00000B000000}" name="Ease of Use"/>
    <tableColumn id="12" xr3:uid="{00000000-0010-0000-0000-00000C000000}" name="Would you recommend us?"/>
    <tableColumn id="13" xr3:uid="{00000000-0010-0000-0000-00000D000000}" name="Additional comments"/>
  </tableColumns>
  <tableStyleInfo name="TableStyleLight14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35882-067A-4C0E-98B4-56E4C0FD7D16}" name="Form_Responses3" displayName="Form_Responses3" ref="A1:M12" totalsRowCount="1" headerRowDxfId="8">
  <autoFilter ref="A1:M11" xr:uid="{A7435882-067A-4C0E-98B4-56E4C0FD7D16}"/>
  <tableColumns count="13">
    <tableColumn id="1" xr3:uid="{A35CBB28-7E03-4703-96C6-9C7E618400B1}" name="Timestamp"/>
    <tableColumn id="2" xr3:uid="{F087EB82-5B20-47E7-99A0-236B96A5B597}" name="Email Address" dataDxfId="7"/>
    <tableColumn id="3" xr3:uid="{DFC98ADC-EA0A-453B-B5BC-2BCC9ABDA958}" name="Full Name"/>
    <tableColumn id="4" xr3:uid="{2A699BDA-3732-49C7-9452-77D5991D31AE}" name="Age Range" dataDxfId="6"/>
    <tableColumn id="5" xr3:uid="{2C4901E9-C15D-4C98-90BD-BB640A71963C}" name="Location">
      <calculatedColumnFormula>PROPER(Form_Responses3[[#This Row],[Location]])</calculatedColumnFormula>
    </tableColumn>
    <tableColumn id="6" xr3:uid="{70FE5923-9A65-4100-A0ED-4E5B051A210D}" name="How satisfied are you?"/>
    <tableColumn id="7" xr3:uid="{5A990309-884D-42D2-95B1-EE4415B4310E}" name="Was your issue resolved?"/>
    <tableColumn id="8" xr3:uid="{6C43A12E-31D0-4D0A-9A67-51C4921C2CB6}" name="How long did it take?"/>
    <tableColumn id="9" xr3:uid="{F6490042-B5B0-4B58-9A14-4E3CBB590C41}" name="Service Speed"/>
    <tableColumn id="10" xr3:uid="{59BBCA5E-9184-4612-A5E0-A6EE61EC88B5}" name="Staff Professionalism "/>
    <tableColumn id="11" xr3:uid="{B21C4981-0213-488D-8B10-412737A1D683}" name="Ease of Use"/>
    <tableColumn id="12" xr3:uid="{B8BE9D2A-D265-40FD-B8C6-37C2EBED4564}" name="Would you recommend us?"/>
    <tableColumn id="13" xr3:uid="{B22892EF-19CB-4371-A588-EA23B39A8B0A}" name="Additional comments"/>
  </tableColumns>
  <tableStyleInfo name="TableStyleLight12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4F2F77-204B-4E47-83B5-87A154840AAE}" name="Form_Responses34" displayName="Form_Responses34" ref="A1:N11" headerRowDxfId="5">
  <autoFilter ref="A1:N11" xr:uid="{D34F2F77-204B-4E47-83B5-87A154840AAE}"/>
  <tableColumns count="14">
    <tableColumn id="1" xr3:uid="{D26D25A1-1CA5-4F5A-BCBE-C0D96A44F9C5}" name="Timestamp"/>
    <tableColumn id="2" xr3:uid="{B487F24C-60E5-49CA-B088-DA2F96A73122}" name="Email Address" dataDxfId="4"/>
    <tableColumn id="3" xr3:uid="{299D9D6C-B2BD-4C90-9592-8BC2A96CE9F0}" name="Full Name"/>
    <tableColumn id="4" xr3:uid="{F3CFD054-AC82-49CF-9802-7EC1C2BC1245}" name="Age Range" dataDxfId="3"/>
    <tableColumn id="5" xr3:uid="{D3966A92-5E1B-47F8-8E25-B90B234C2EDF}" name="Location">
      <calculatedColumnFormula>PROPER(Form_Responses34[[#This Row],[Location]])</calculatedColumnFormula>
    </tableColumn>
    <tableColumn id="20" xr3:uid="{DE9F32DB-F820-4B9F-807D-5C266A31935C}" name="Service Used"/>
    <tableColumn id="6" xr3:uid="{E8B4B3C9-19C5-4929-85D3-61587EAED2A2}" name="How satisfied are you?"/>
    <tableColumn id="7" xr3:uid="{F3D6AA19-78CD-4F9A-88F7-1C25FCE65BA9}" name="Was your issue resolved?"/>
    <tableColumn id="8" xr3:uid="{5AD9243B-5883-4791-A5D3-DFCAF1F80958}" name="How long did it take?"/>
    <tableColumn id="9" xr3:uid="{84D89D94-FF3F-4B85-99AE-FFF490B7C972}" name="Service Speed"/>
    <tableColumn id="10" xr3:uid="{FCEA62CF-3381-4CE3-A587-12BC00E0C17C}" name="Staff Professionalism "/>
    <tableColumn id="11" xr3:uid="{4F2493D0-DF39-41B9-B814-D9322CFB4D4D}" name="Ease of Use"/>
    <tableColumn id="12" xr3:uid="{A8E5BEA4-E268-4E34-A5DC-A473DA69FCB6}" name="Would you recommend us?"/>
    <tableColumn id="13" xr3:uid="{A863E4CA-49AA-490B-9952-6FF487334D6C}" name="Additional comments"/>
  </tableColumns>
  <tableStyleInfo name="TableStyleLight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814EDB-3465-4AEC-99C0-C5DA9FBA3E15}" name="Table7" displayName="Table7" ref="D22:E25" totalsRowShown="0">
  <autoFilter ref="D22:E25" xr:uid="{30814EDB-3465-4AEC-99C0-C5DA9FBA3E15}"/>
  <tableColumns count="2">
    <tableColumn id="1" xr3:uid="{0A4E0A71-E8AF-4AF9-BCE6-38584EAFBCC4}" name="Resolution "/>
    <tableColumn id="2" xr3:uid="{F2843705-1EC3-4429-8CCA-57BB8155CF85}" name="Count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687B7-28AA-40F7-AA28-923CD3D9FA89}" name="Table6" displayName="Table6" ref="A22:B27" totalsRowShown="0" headerRowDxfId="2">
  <autoFilter ref="A22:B27" xr:uid="{939687B7-28AA-40F7-AA28-923CD3D9FA89}"/>
  <tableColumns count="2">
    <tableColumn id="1" xr3:uid="{C7B1AF21-8761-4B48-B670-0071D1F8EA8B}" name="Rating"/>
    <tableColumn id="2" xr3:uid="{5E6E013F-099A-4E58-AFD6-F8CDDE6CEFC1}" name="Numbers of customers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67028E-F4C5-4641-B605-697F5332335A}" name="Table8" displayName="Table8" ref="G22:H26" totalsRowShown="0" headerRowDxfId="1">
  <autoFilter ref="G22:H26" xr:uid="{9367028E-F4C5-4641-B605-697F5332335A}"/>
  <tableColumns count="2">
    <tableColumn id="1" xr3:uid="{C2D72BA5-7DBF-45A7-B46D-750BA0F8721E}" name="Service Used"/>
    <tableColumn id="2" xr3:uid="{D2E966A7-2464-42C1-AC33-34F06D429208}" name="Count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FBD81F-8E4C-4BCA-AFEB-39BCD63CBCCD}" name="Table9" displayName="Table9" ref="J22:K27" totalsRowShown="0" headerRowDxfId="0">
  <autoFilter ref="J22:K27" xr:uid="{00FBD81F-8E4C-4BCA-AFEB-39BCD63CBCCD}"/>
  <tableColumns count="2">
    <tableColumn id="1" xr3:uid="{4711E7B4-DBEB-40E6-8D5D-5FADC65D791F}" name="Speed"/>
    <tableColumn id="2" xr3:uid="{09FAE8F4-FEC8-4A12-9F27-A8D2D22B53D9}" name="Satisfaction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FB92-BBED-4A37-AD80-616D543B4819}">
  <dimension ref="A1:T20"/>
  <sheetViews>
    <sheetView zoomScaleNormal="100" workbookViewId="0">
      <selection activeCell="D16" sqref="D16"/>
    </sheetView>
  </sheetViews>
  <sheetFormatPr defaultRowHeight="12.75" x14ac:dyDescent="0.2"/>
  <cols>
    <col min="1" max="1" width="39.28515625" bestFit="1" customWidth="1"/>
  </cols>
  <sheetData>
    <row r="1" spans="1:20" ht="13.5" thickBot="1" x14ac:dyDescent="0.25">
      <c r="A1" s="30" t="s">
        <v>60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4.25" thickTop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ht="14.25" thickTop="1" thickBo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ht="14.25" thickTop="1" thickBo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14.25" thickTop="1" thickBo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4.25" thickTop="1" thickBo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4.25" thickTop="1" thickBo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ht="14.25" thickTop="1" thickBo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ht="14.25" thickTop="1" thickBo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ht="14.25" thickTop="1" thickBo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ht="13.5" thickTop="1" x14ac:dyDescent="0.2">
      <c r="A11" s="31" t="s">
        <v>61</v>
      </c>
    </row>
    <row r="12" spans="1:20" x14ac:dyDescent="0.2">
      <c r="A12" s="32"/>
    </row>
    <row r="13" spans="1:20" x14ac:dyDescent="0.2">
      <c r="A13" s="32"/>
    </row>
    <row r="14" spans="1:20" x14ac:dyDescent="0.2">
      <c r="A14" s="32"/>
    </row>
    <row r="15" spans="1:20" x14ac:dyDescent="0.2">
      <c r="A15" s="33" t="s">
        <v>62</v>
      </c>
    </row>
    <row r="16" spans="1:20" x14ac:dyDescent="0.2">
      <c r="A16" s="33"/>
    </row>
    <row r="17" spans="1:1" x14ac:dyDescent="0.2">
      <c r="A17" s="33"/>
    </row>
    <row r="18" spans="1:1" x14ac:dyDescent="0.2">
      <c r="A18" s="33"/>
    </row>
    <row r="19" spans="1:1" x14ac:dyDescent="0.2">
      <c r="A19" s="33"/>
    </row>
    <row r="20" spans="1:1" x14ac:dyDescent="0.2">
      <c r="A20" s="33"/>
    </row>
  </sheetData>
  <mergeCells count="3">
    <mergeCell ref="A1:T10"/>
    <mergeCell ref="A11:A14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"/>
  <sheetViews>
    <sheetView tabSelected="1" zoomScaleNormal="100" workbookViewId="0">
      <pane ySplit="1" topLeftCell="A2" activePane="bottomLeft" state="frozen"/>
      <selection pane="bottomLeft" activeCell="G16" sqref="G16"/>
    </sheetView>
  </sheetViews>
  <sheetFormatPr defaultColWidth="12.5703125" defaultRowHeight="15.75" customHeight="1" x14ac:dyDescent="0.2"/>
  <cols>
    <col min="1" max="1" width="17" bestFit="1" customWidth="1"/>
    <col min="2" max="2" width="27.42578125" bestFit="1" customWidth="1"/>
    <col min="3" max="3" width="22.42578125" bestFit="1" customWidth="1"/>
    <col min="4" max="4" width="11" bestFit="1" customWidth="1"/>
    <col min="5" max="5" width="15.28515625" bestFit="1" customWidth="1"/>
    <col min="6" max="6" width="22" bestFit="1" customWidth="1"/>
    <col min="7" max="7" width="24.42578125" bestFit="1" customWidth="1"/>
    <col min="8" max="8" width="20.5703125" bestFit="1" customWidth="1"/>
    <col min="9" max="9" width="14.42578125" bestFit="1" customWidth="1"/>
    <col min="10" max="10" width="20.85546875" bestFit="1" customWidth="1"/>
    <col min="11" max="11" width="11.42578125" bestFit="1" customWidth="1"/>
    <col min="12" max="12" width="26.42578125" bestFit="1" customWidth="1"/>
    <col min="13" max="13" width="20.42578125" bestFit="1" customWidth="1"/>
    <col min="14" max="19" width="18.85546875" customWidth="1"/>
  </cols>
  <sheetData>
    <row r="1" spans="1:1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">
      <c r="A2" s="2">
        <v>46122.646930740739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</v>
      </c>
      <c r="G2" s="3" t="s">
        <v>17</v>
      </c>
      <c r="H2" s="3" t="s">
        <v>18</v>
      </c>
      <c r="I2" s="3">
        <v>2</v>
      </c>
      <c r="J2" s="3">
        <v>2</v>
      </c>
      <c r="K2" s="3">
        <v>1</v>
      </c>
      <c r="L2" s="3" t="s">
        <v>19</v>
      </c>
      <c r="M2" s="4"/>
    </row>
    <row r="3" spans="1:13" ht="22.5" customHeight="1" x14ac:dyDescent="0.2">
      <c r="A3" s="5">
        <v>46122.654049178236</v>
      </c>
      <c r="B3" s="6" t="s">
        <v>20</v>
      </c>
      <c r="C3" s="6" t="s">
        <v>21</v>
      </c>
      <c r="D3" s="6" t="s">
        <v>22</v>
      </c>
      <c r="E3" s="6" t="s">
        <v>23</v>
      </c>
      <c r="F3" s="6">
        <v>4</v>
      </c>
      <c r="G3" s="6" t="s">
        <v>24</v>
      </c>
      <c r="H3" s="6" t="s">
        <v>25</v>
      </c>
      <c r="I3" s="6">
        <v>4</v>
      </c>
      <c r="J3" s="6">
        <v>5</v>
      </c>
      <c r="K3" s="6">
        <v>5</v>
      </c>
      <c r="L3" s="6" t="s">
        <v>19</v>
      </c>
      <c r="M3" s="6" t="s">
        <v>26</v>
      </c>
    </row>
    <row r="4" spans="1:13" ht="22.5" customHeight="1" x14ac:dyDescent="0.2">
      <c r="A4" s="5">
        <v>46122.657059398145</v>
      </c>
      <c r="B4" s="6" t="s">
        <v>27</v>
      </c>
      <c r="C4" s="6" t="s">
        <v>28</v>
      </c>
      <c r="D4" s="6" t="s">
        <v>15</v>
      </c>
      <c r="E4" s="6" t="s">
        <v>29</v>
      </c>
      <c r="F4" s="6">
        <v>5</v>
      </c>
      <c r="G4" s="6" t="s">
        <v>24</v>
      </c>
      <c r="H4" s="6" t="s">
        <v>25</v>
      </c>
      <c r="I4" s="6">
        <v>1</v>
      </c>
      <c r="J4" s="6">
        <v>5</v>
      </c>
      <c r="K4" s="6">
        <v>5</v>
      </c>
      <c r="L4" s="6" t="s">
        <v>19</v>
      </c>
      <c r="M4" s="6" t="s">
        <v>30</v>
      </c>
    </row>
    <row r="5" spans="1:13" ht="22.5" customHeight="1" x14ac:dyDescent="0.2">
      <c r="A5" s="5">
        <v>46122.668672592597</v>
      </c>
      <c r="B5" s="6" t="s">
        <v>31</v>
      </c>
      <c r="C5" s="6" t="s">
        <v>32</v>
      </c>
      <c r="D5" s="6" t="s">
        <v>15</v>
      </c>
      <c r="E5" s="6" t="s">
        <v>33</v>
      </c>
      <c r="F5" s="6">
        <v>4</v>
      </c>
      <c r="G5" s="6" t="s">
        <v>19</v>
      </c>
      <c r="H5" s="6" t="s">
        <v>18</v>
      </c>
      <c r="I5" s="6">
        <v>3</v>
      </c>
      <c r="J5" s="6">
        <v>3</v>
      </c>
      <c r="K5" s="6">
        <v>3</v>
      </c>
      <c r="L5" s="6" t="s">
        <v>19</v>
      </c>
      <c r="M5" s="6" t="s">
        <v>34</v>
      </c>
    </row>
    <row r="6" spans="1:13" ht="22.5" customHeight="1" x14ac:dyDescent="0.2">
      <c r="A6" s="5">
        <v>46122.675223842598</v>
      </c>
      <c r="B6" s="6" t="s">
        <v>35</v>
      </c>
      <c r="C6" s="6" t="s">
        <v>36</v>
      </c>
      <c r="D6" s="6" t="s">
        <v>15</v>
      </c>
      <c r="E6" s="6" t="s">
        <v>37</v>
      </c>
      <c r="F6" s="6">
        <v>3</v>
      </c>
      <c r="G6" s="6" t="s">
        <v>24</v>
      </c>
      <c r="H6" s="6" t="s">
        <v>38</v>
      </c>
      <c r="I6" s="6">
        <v>3</v>
      </c>
      <c r="J6" s="6">
        <v>4</v>
      </c>
      <c r="K6" s="6">
        <v>4</v>
      </c>
      <c r="L6" s="6" t="s">
        <v>24</v>
      </c>
      <c r="M6" s="6" t="s">
        <v>39</v>
      </c>
    </row>
    <row r="7" spans="1:13" ht="22.5" customHeight="1" x14ac:dyDescent="0.2">
      <c r="A7" s="5">
        <v>46122.709582824071</v>
      </c>
      <c r="B7" s="6" t="s">
        <v>40</v>
      </c>
      <c r="C7" s="6" t="s">
        <v>41</v>
      </c>
      <c r="D7" s="6" t="s">
        <v>15</v>
      </c>
      <c r="E7" s="6" t="s">
        <v>42</v>
      </c>
      <c r="F7" s="6">
        <v>5</v>
      </c>
      <c r="G7" s="6" t="s">
        <v>19</v>
      </c>
      <c r="H7" s="6" t="s">
        <v>25</v>
      </c>
      <c r="I7" s="6">
        <v>5</v>
      </c>
      <c r="J7" s="6">
        <v>5</v>
      </c>
      <c r="K7" s="6">
        <v>5</v>
      </c>
      <c r="L7" s="6" t="s">
        <v>19</v>
      </c>
      <c r="M7" s="6" t="s">
        <v>43</v>
      </c>
    </row>
    <row r="8" spans="1:13" ht="22.5" customHeight="1" x14ac:dyDescent="0.2">
      <c r="A8" s="5">
        <v>46122.800766863424</v>
      </c>
      <c r="B8" s="6" t="s">
        <v>44</v>
      </c>
      <c r="C8" s="6" t="s">
        <v>45</v>
      </c>
      <c r="D8" s="6" t="s">
        <v>15</v>
      </c>
      <c r="E8" s="6" t="s">
        <v>46</v>
      </c>
      <c r="F8" s="6">
        <v>3</v>
      </c>
      <c r="G8" s="6" t="s">
        <v>24</v>
      </c>
      <c r="H8" s="6" t="s">
        <v>25</v>
      </c>
      <c r="I8" s="6">
        <v>5</v>
      </c>
      <c r="J8" s="6">
        <v>3</v>
      </c>
      <c r="K8" s="6">
        <v>3</v>
      </c>
      <c r="L8" s="6" t="s">
        <v>24</v>
      </c>
      <c r="M8" s="6" t="s">
        <v>47</v>
      </c>
    </row>
    <row r="9" spans="1:13" ht="22.5" customHeight="1" x14ac:dyDescent="0.2">
      <c r="A9" s="5">
        <v>46122.895821620376</v>
      </c>
      <c r="B9" s="6" t="s">
        <v>48</v>
      </c>
      <c r="C9" s="6" t="s">
        <v>49</v>
      </c>
      <c r="D9" s="6" t="s">
        <v>15</v>
      </c>
      <c r="E9" s="6" t="s">
        <v>50</v>
      </c>
      <c r="F9" s="6">
        <v>4</v>
      </c>
      <c r="G9" s="6" t="s">
        <v>19</v>
      </c>
      <c r="H9" s="6" t="s">
        <v>25</v>
      </c>
      <c r="I9" s="6">
        <v>4</v>
      </c>
      <c r="J9" s="6">
        <v>5</v>
      </c>
      <c r="K9" s="6">
        <v>4</v>
      </c>
      <c r="L9" s="6" t="s">
        <v>19</v>
      </c>
    </row>
    <row r="10" spans="1:13" ht="22.5" customHeight="1" x14ac:dyDescent="0.2">
      <c r="A10" s="5">
        <v>46123.883093194439</v>
      </c>
      <c r="B10" s="6" t="s">
        <v>51</v>
      </c>
      <c r="C10" s="6" t="s">
        <v>52</v>
      </c>
      <c r="D10" s="6" t="s">
        <v>15</v>
      </c>
      <c r="E10" s="6" t="s">
        <v>46</v>
      </c>
      <c r="F10" s="6">
        <v>5</v>
      </c>
      <c r="G10" t="s">
        <v>17</v>
      </c>
      <c r="H10" s="6" t="s">
        <v>25</v>
      </c>
      <c r="I10" s="6">
        <v>5</v>
      </c>
      <c r="J10" s="6">
        <v>5</v>
      </c>
      <c r="K10" s="6">
        <v>5</v>
      </c>
      <c r="L10" s="6" t="s">
        <v>19</v>
      </c>
      <c r="M10" s="6" t="s">
        <v>53</v>
      </c>
    </row>
    <row r="11" spans="1:13" ht="22.5" customHeight="1" x14ac:dyDescent="0.2">
      <c r="A11" s="5">
        <v>46125.422557893515</v>
      </c>
      <c r="B11" s="6" t="s">
        <v>54</v>
      </c>
      <c r="C11" s="6" t="s">
        <v>55</v>
      </c>
      <c r="D11" s="6" t="s">
        <v>22</v>
      </c>
      <c r="E11" s="6" t="s">
        <v>56</v>
      </c>
      <c r="F11" s="6">
        <v>4</v>
      </c>
      <c r="G11" s="6" t="s">
        <v>19</v>
      </c>
      <c r="H11" s="6" t="s">
        <v>25</v>
      </c>
      <c r="I11" s="6">
        <v>1</v>
      </c>
      <c r="J11" s="6">
        <v>1</v>
      </c>
      <c r="K11" s="6">
        <v>1</v>
      </c>
      <c r="L11" s="6" t="s"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0AFC-D6E3-471E-A3CF-AFBED16C93EC}">
  <dimension ref="A1:M11"/>
  <sheetViews>
    <sheetView zoomScaleNormal="100" workbookViewId="0">
      <selection activeCell="E16" sqref="E16"/>
    </sheetView>
  </sheetViews>
  <sheetFormatPr defaultRowHeight="15.75" customHeight="1" x14ac:dyDescent="0.2"/>
  <cols>
    <col min="1" max="1" width="20.7109375" bestFit="1" customWidth="1"/>
    <col min="2" max="2" width="30.140625" bestFit="1" customWidth="1"/>
    <col min="3" max="3" width="23" bestFit="1" customWidth="1"/>
    <col min="4" max="4" width="13" bestFit="1" customWidth="1"/>
    <col min="5" max="5" width="16.28515625" bestFit="1" customWidth="1"/>
    <col min="6" max="6" width="25.85546875" bestFit="1" customWidth="1"/>
    <col min="7" max="7" width="28.85546875" bestFit="1" customWidth="1"/>
    <col min="8" max="8" width="24" bestFit="1" customWidth="1"/>
    <col min="9" max="9" width="16.7109375" bestFit="1" customWidth="1"/>
    <col min="10" max="10" width="25.85546875" bestFit="1" customWidth="1"/>
    <col min="11" max="11" width="14.42578125" bestFit="1" customWidth="1"/>
    <col min="12" max="12" width="30.140625" bestFit="1" customWidth="1"/>
    <col min="13" max="13" width="24.42578125" bestFit="1" customWidth="1"/>
    <col min="14" max="14" width="24.42578125" customWidth="1"/>
  </cols>
  <sheetData>
    <row r="1" spans="1:13" s="10" customFormat="1" ht="15.7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15.75" customHeight="1" x14ac:dyDescent="0.2">
      <c r="A2" s="5">
        <v>46122.646930740739</v>
      </c>
      <c r="B2" s="6" t="s">
        <v>13</v>
      </c>
      <c r="C2" s="6" t="s">
        <v>14</v>
      </c>
      <c r="D2" s="7" t="s">
        <v>15</v>
      </c>
      <c r="E2" t="str">
        <f ca="1">PROPER(Form_Responses3[[#This Row],[Location]])</f>
        <v>Lokoja</v>
      </c>
      <c r="F2" s="6">
        <v>2</v>
      </c>
      <c r="G2" s="6" t="s">
        <v>17</v>
      </c>
      <c r="H2" s="6" t="s">
        <v>18</v>
      </c>
      <c r="I2" s="6">
        <v>2</v>
      </c>
      <c r="J2" s="6">
        <v>2</v>
      </c>
      <c r="K2" s="6">
        <v>1</v>
      </c>
      <c r="L2" s="6" t="s">
        <v>19</v>
      </c>
      <c r="M2" s="6"/>
    </row>
    <row r="3" spans="1:13" ht="15.75" customHeight="1" x14ac:dyDescent="0.2">
      <c r="A3" s="5">
        <v>46122.654049178236</v>
      </c>
      <c r="B3" s="6" t="s">
        <v>20</v>
      </c>
      <c r="C3" s="6" t="s">
        <v>57</v>
      </c>
      <c r="D3" s="7" t="s">
        <v>22</v>
      </c>
      <c r="E3" t="str">
        <f ca="1">PROPER(Form_Responses3[[#This Row],[Location]])</f>
        <v>Ilorin</v>
      </c>
      <c r="F3" s="6">
        <v>4</v>
      </c>
      <c r="G3" s="6" t="s">
        <v>24</v>
      </c>
      <c r="H3" s="6" t="s">
        <v>25</v>
      </c>
      <c r="I3" s="6">
        <v>4</v>
      </c>
      <c r="J3" s="6">
        <v>5</v>
      </c>
      <c r="K3" s="6">
        <v>5</v>
      </c>
      <c r="L3" s="6" t="s">
        <v>19</v>
      </c>
      <c r="M3" s="6" t="s">
        <v>26</v>
      </c>
    </row>
    <row r="4" spans="1:13" ht="15.75" customHeight="1" x14ac:dyDescent="0.2">
      <c r="A4" s="5">
        <v>46122.657059398145</v>
      </c>
      <c r="B4" s="6" t="s">
        <v>27</v>
      </c>
      <c r="C4" s="6" t="s">
        <v>28</v>
      </c>
      <c r="D4" s="7" t="s">
        <v>15</v>
      </c>
      <c r="E4" t="str">
        <f ca="1">PROPER(Form_Responses3[[#This Row],[Location]])</f>
        <v>Lokoja,Kogi State</v>
      </c>
      <c r="F4" s="6">
        <v>5</v>
      </c>
      <c r="G4" s="6" t="s">
        <v>24</v>
      </c>
      <c r="H4" s="6" t="s">
        <v>25</v>
      </c>
      <c r="I4" s="6">
        <v>1</v>
      </c>
      <c r="J4" s="6">
        <v>5</v>
      </c>
      <c r="K4" s="6">
        <v>5</v>
      </c>
      <c r="L4" s="6" t="s">
        <v>19</v>
      </c>
      <c r="M4" s="6" t="s">
        <v>30</v>
      </c>
    </row>
    <row r="5" spans="1:13" ht="15.75" customHeight="1" x14ac:dyDescent="0.2">
      <c r="A5" s="5">
        <v>46122.668672592597</v>
      </c>
      <c r="B5" s="6" t="s">
        <v>31</v>
      </c>
      <c r="C5" s="6" t="s">
        <v>58</v>
      </c>
      <c r="D5" s="7" t="s">
        <v>15</v>
      </c>
      <c r="E5" t="str">
        <f ca="1">PROPER(Form_Responses3[[#This Row],[Location]])</f>
        <v xml:space="preserve">Kaduna </v>
      </c>
      <c r="F5" s="6">
        <v>4</v>
      </c>
      <c r="G5" s="6" t="s">
        <v>19</v>
      </c>
      <c r="H5" s="6" t="s">
        <v>18</v>
      </c>
      <c r="I5" s="6">
        <v>3</v>
      </c>
      <c r="J5" s="6">
        <v>3</v>
      </c>
      <c r="K5" s="6">
        <v>3</v>
      </c>
      <c r="L5" s="6" t="s">
        <v>19</v>
      </c>
      <c r="M5" s="6" t="s">
        <v>34</v>
      </c>
    </row>
    <row r="6" spans="1:13" ht="15.75" customHeight="1" x14ac:dyDescent="0.2">
      <c r="A6" s="5">
        <v>46122.675223842598</v>
      </c>
      <c r="B6" s="6" t="s">
        <v>35</v>
      </c>
      <c r="C6" s="6" t="s">
        <v>36</v>
      </c>
      <c r="D6" s="7" t="s">
        <v>15</v>
      </c>
      <c r="E6" t="str">
        <f ca="1">PROPER(Form_Responses3[[#This Row],[Location]])</f>
        <v>Kogi State</v>
      </c>
      <c r="F6" s="6">
        <v>3</v>
      </c>
      <c r="G6" s="6" t="s">
        <v>24</v>
      </c>
      <c r="H6" s="6" t="s">
        <v>38</v>
      </c>
      <c r="I6" s="6">
        <v>3</v>
      </c>
      <c r="J6" s="6">
        <v>4</v>
      </c>
      <c r="K6" s="6">
        <v>4</v>
      </c>
      <c r="L6" s="6" t="s">
        <v>24</v>
      </c>
      <c r="M6" s="6" t="s">
        <v>39</v>
      </c>
    </row>
    <row r="7" spans="1:13" ht="15.75" customHeight="1" x14ac:dyDescent="0.2">
      <c r="A7" s="5">
        <v>46122.709582824071</v>
      </c>
      <c r="B7" s="6" t="s">
        <v>40</v>
      </c>
      <c r="C7" s="6" t="s">
        <v>41</v>
      </c>
      <c r="D7" s="7" t="s">
        <v>15</v>
      </c>
      <c r="E7" t="str">
        <f ca="1">PROPER(Form_Responses3[[#This Row],[Location]])</f>
        <v xml:space="preserve">Lagos </v>
      </c>
      <c r="F7" s="6">
        <v>5</v>
      </c>
      <c r="G7" s="6" t="s">
        <v>19</v>
      </c>
      <c r="H7" s="6" t="s">
        <v>25</v>
      </c>
      <c r="I7" s="6">
        <v>5</v>
      </c>
      <c r="J7" s="6">
        <v>5</v>
      </c>
      <c r="K7" s="6">
        <v>5</v>
      </c>
      <c r="L7" s="6" t="s">
        <v>19</v>
      </c>
      <c r="M7" s="6" t="s">
        <v>43</v>
      </c>
    </row>
    <row r="8" spans="1:13" ht="15.75" customHeight="1" x14ac:dyDescent="0.2">
      <c r="A8" s="5">
        <v>46122.800766863424</v>
      </c>
      <c r="B8" s="6" t="s">
        <v>44</v>
      </c>
      <c r="C8" s="6" t="s">
        <v>45</v>
      </c>
      <c r="D8" s="7" t="s">
        <v>15</v>
      </c>
      <c r="E8" t="str">
        <f ca="1">PROPER(Form_Responses3[[#This Row],[Location]])</f>
        <v>Lokoja</v>
      </c>
      <c r="F8" s="6">
        <v>3</v>
      </c>
      <c r="G8" s="6" t="s">
        <v>24</v>
      </c>
      <c r="H8" s="6" t="s">
        <v>25</v>
      </c>
      <c r="I8" s="6">
        <v>5</v>
      </c>
      <c r="J8" s="6">
        <v>3</v>
      </c>
      <c r="K8" s="6">
        <v>3</v>
      </c>
      <c r="L8" s="6" t="s">
        <v>24</v>
      </c>
      <c r="M8" s="6" t="s">
        <v>47</v>
      </c>
    </row>
    <row r="9" spans="1:13" ht="15.75" customHeight="1" x14ac:dyDescent="0.2">
      <c r="A9" s="5">
        <v>46122.895821620376</v>
      </c>
      <c r="B9" s="6" t="s">
        <v>48</v>
      </c>
      <c r="C9" s="6" t="s">
        <v>49</v>
      </c>
      <c r="D9" s="7" t="s">
        <v>15</v>
      </c>
      <c r="E9" t="str">
        <f ca="1">PROPER(Form_Responses3[[#This Row],[Location]])</f>
        <v>Lagos</v>
      </c>
      <c r="F9" s="6">
        <v>4</v>
      </c>
      <c r="G9" s="8" t="s">
        <v>19</v>
      </c>
      <c r="H9" s="6" t="s">
        <v>25</v>
      </c>
      <c r="I9" s="6">
        <v>4</v>
      </c>
      <c r="J9" s="6">
        <v>5</v>
      </c>
      <c r="K9" s="6">
        <v>4</v>
      </c>
      <c r="L9" s="6" t="s">
        <v>19</v>
      </c>
    </row>
    <row r="10" spans="1:13" ht="15.75" customHeight="1" x14ac:dyDescent="0.2">
      <c r="A10" s="5">
        <v>46123.883093194439</v>
      </c>
      <c r="B10" s="6" t="s">
        <v>51</v>
      </c>
      <c r="C10" s="6" t="s">
        <v>59</v>
      </c>
      <c r="D10" s="7" t="s">
        <v>15</v>
      </c>
      <c r="E10" t="str">
        <f ca="1">PROPER(Form_Responses3[[#This Row],[Location]])</f>
        <v>Lokoja</v>
      </c>
      <c r="F10" s="6">
        <v>5</v>
      </c>
      <c r="G10" t="s">
        <v>17</v>
      </c>
      <c r="H10" s="6" t="s">
        <v>25</v>
      </c>
      <c r="I10" s="6">
        <v>5</v>
      </c>
      <c r="J10" s="6">
        <v>5</v>
      </c>
      <c r="K10" s="6">
        <v>5</v>
      </c>
      <c r="L10" s="6" t="s">
        <v>19</v>
      </c>
      <c r="M10" s="6" t="s">
        <v>53</v>
      </c>
    </row>
    <row r="11" spans="1:13" ht="15.75" customHeight="1" x14ac:dyDescent="0.2">
      <c r="A11" s="5">
        <v>46125.422557893515</v>
      </c>
      <c r="B11" s="6" t="s">
        <v>54</v>
      </c>
      <c r="C11" s="6" t="s">
        <v>55</v>
      </c>
      <c r="D11" s="7" t="s">
        <v>22</v>
      </c>
      <c r="E11" t="str">
        <f ca="1">PROPER(Form_Responses3[[#This Row],[Location]])</f>
        <v>Paiko</v>
      </c>
      <c r="F11" s="6">
        <v>4</v>
      </c>
      <c r="G11" s="6" t="s">
        <v>19</v>
      </c>
      <c r="H11" s="6" t="s">
        <v>25</v>
      </c>
      <c r="I11" s="6">
        <v>1</v>
      </c>
      <c r="J11" s="6">
        <v>1</v>
      </c>
      <c r="K11" s="6">
        <v>1</v>
      </c>
      <c r="L11" s="6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468-C7F4-45CD-9C6E-6E5E73170CA8}">
  <dimension ref="A1:N37"/>
  <sheetViews>
    <sheetView zoomScaleNormal="100" workbookViewId="0">
      <selection activeCell="D11" sqref="D11"/>
    </sheetView>
  </sheetViews>
  <sheetFormatPr defaultRowHeight="15.75" customHeight="1" x14ac:dyDescent="0.2"/>
  <cols>
    <col min="1" max="1" width="17" bestFit="1" customWidth="1"/>
    <col min="2" max="2" width="42.42578125" bestFit="1" customWidth="1"/>
    <col min="3" max="3" width="22.42578125" bestFit="1" customWidth="1"/>
    <col min="4" max="4" width="13.42578125" bestFit="1" customWidth="1"/>
    <col min="5" max="5" width="15.85546875" bestFit="1" customWidth="1"/>
    <col min="6" max="6" width="15.85546875" customWidth="1"/>
    <col min="7" max="7" width="24.28515625" bestFit="1" customWidth="1"/>
    <col min="8" max="8" width="26.7109375" bestFit="1" customWidth="1"/>
    <col min="9" max="9" width="22.85546875" bestFit="1" customWidth="1"/>
    <col min="10" max="10" width="16.7109375" bestFit="1" customWidth="1"/>
    <col min="11" max="11" width="23.140625" bestFit="1" customWidth="1"/>
    <col min="12" max="12" width="13.7109375" bestFit="1" customWidth="1"/>
    <col min="13" max="13" width="28.7109375" bestFit="1" customWidth="1"/>
    <col min="14" max="14" width="22.7109375" bestFit="1" customWidth="1"/>
    <col min="15" max="15" width="24.42578125" customWidth="1"/>
  </cols>
  <sheetData>
    <row r="1" spans="1:14" s="10" customFormat="1" ht="15.7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68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spans="1:14" ht="15.75" customHeight="1" x14ac:dyDescent="0.2">
      <c r="A2" s="5">
        <v>46122.646930740739</v>
      </c>
      <c r="B2" s="8" t="s">
        <v>13</v>
      </c>
      <c r="C2" s="6" t="s">
        <v>14</v>
      </c>
      <c r="D2" s="17" t="s">
        <v>15</v>
      </c>
      <c r="E2" t="str">
        <f ca="1">PROPER(Form_Responses34[[#This Row],[Location]])</f>
        <v>Lokoja</v>
      </c>
      <c r="F2" s="12" t="s">
        <v>69</v>
      </c>
      <c r="G2" s="6">
        <v>2</v>
      </c>
      <c r="H2" s="6" t="s">
        <v>17</v>
      </c>
      <c r="I2" s="6" t="s">
        <v>18</v>
      </c>
      <c r="J2" s="6">
        <v>2</v>
      </c>
      <c r="K2" s="6">
        <v>2</v>
      </c>
      <c r="L2" s="6">
        <v>1</v>
      </c>
      <c r="M2" s="6" t="s">
        <v>19</v>
      </c>
      <c r="N2" s="6"/>
    </row>
    <row r="3" spans="1:14" ht="15.75" customHeight="1" x14ac:dyDescent="0.2">
      <c r="A3" s="5">
        <v>46122.654049178236</v>
      </c>
      <c r="B3" s="8" t="s">
        <v>20</v>
      </c>
      <c r="C3" s="6" t="s">
        <v>57</v>
      </c>
      <c r="D3" s="17" t="s">
        <v>22</v>
      </c>
      <c r="E3" t="str">
        <f ca="1">PROPER(Form_Responses34[[#This Row],[Location]])</f>
        <v>Ilorin</v>
      </c>
      <c r="F3" s="11" t="s">
        <v>72</v>
      </c>
      <c r="G3" s="6">
        <v>4</v>
      </c>
      <c r="H3" s="6" t="s">
        <v>24</v>
      </c>
      <c r="I3" s="6" t="s">
        <v>25</v>
      </c>
      <c r="J3" s="6">
        <v>4</v>
      </c>
      <c r="K3" s="6">
        <v>5</v>
      </c>
      <c r="L3" s="6">
        <v>5</v>
      </c>
      <c r="M3" s="6" t="s">
        <v>19</v>
      </c>
      <c r="N3" s="6" t="s">
        <v>26</v>
      </c>
    </row>
    <row r="4" spans="1:14" ht="15.75" customHeight="1" x14ac:dyDescent="0.2">
      <c r="A4" s="5">
        <v>46122.657059398145</v>
      </c>
      <c r="B4" s="8" t="s">
        <v>27</v>
      </c>
      <c r="C4" s="6" t="s">
        <v>28</v>
      </c>
      <c r="D4" s="17" t="s">
        <v>15</v>
      </c>
      <c r="E4" t="str">
        <f ca="1">PROPER(Form_Responses34[[#This Row],[Location]])</f>
        <v>Lokoja,Kogi State</v>
      </c>
      <c r="F4" s="11" t="s">
        <v>70</v>
      </c>
      <c r="G4" s="6">
        <v>5</v>
      </c>
      <c r="H4" s="6" t="s">
        <v>24</v>
      </c>
      <c r="I4" s="6" t="s">
        <v>25</v>
      </c>
      <c r="J4" s="6">
        <v>1</v>
      </c>
      <c r="K4" s="6">
        <v>5</v>
      </c>
      <c r="L4" s="6">
        <v>5</v>
      </c>
      <c r="M4" s="6" t="s">
        <v>19</v>
      </c>
      <c r="N4" s="6" t="s">
        <v>30</v>
      </c>
    </row>
    <row r="5" spans="1:14" ht="15.75" customHeight="1" x14ac:dyDescent="0.2">
      <c r="A5" s="5">
        <v>46122.668672592597</v>
      </c>
      <c r="B5" s="8" t="s">
        <v>31</v>
      </c>
      <c r="C5" s="6" t="s">
        <v>58</v>
      </c>
      <c r="D5" s="17" t="s">
        <v>15</v>
      </c>
      <c r="E5" t="str">
        <f ca="1">PROPER(Form_Responses34[[#This Row],[Location]])</f>
        <v xml:space="preserve">Kaduna </v>
      </c>
      <c r="F5" s="12" t="s">
        <v>69</v>
      </c>
      <c r="G5" s="6">
        <v>4</v>
      </c>
      <c r="H5" s="6" t="s">
        <v>19</v>
      </c>
      <c r="I5" s="6" t="s">
        <v>18</v>
      </c>
      <c r="J5" s="6">
        <v>3</v>
      </c>
      <c r="K5" s="6">
        <v>3</v>
      </c>
      <c r="L5" s="6">
        <v>3</v>
      </c>
      <c r="M5" s="6" t="s">
        <v>19</v>
      </c>
      <c r="N5" s="6" t="s">
        <v>34</v>
      </c>
    </row>
    <row r="6" spans="1:14" ht="15.75" customHeight="1" x14ac:dyDescent="0.2">
      <c r="A6" s="5">
        <v>46122.675223842598</v>
      </c>
      <c r="B6" s="6" t="s">
        <v>35</v>
      </c>
      <c r="C6" s="6" t="s">
        <v>36</v>
      </c>
      <c r="D6" s="17" t="s">
        <v>15</v>
      </c>
      <c r="E6" t="str">
        <f ca="1">PROPER(Form_Responses34[[#This Row],[Location]])</f>
        <v>Kogi State</v>
      </c>
      <c r="F6" s="11" t="s">
        <v>71</v>
      </c>
      <c r="G6" s="6">
        <v>3</v>
      </c>
      <c r="H6" s="6" t="s">
        <v>24</v>
      </c>
      <c r="I6" s="6" t="s">
        <v>38</v>
      </c>
      <c r="J6" s="6">
        <v>3</v>
      </c>
      <c r="K6" s="6">
        <v>4</v>
      </c>
      <c r="L6" s="6">
        <v>4</v>
      </c>
      <c r="M6" s="6" t="s">
        <v>24</v>
      </c>
      <c r="N6" s="6" t="s">
        <v>39</v>
      </c>
    </row>
    <row r="7" spans="1:14" ht="15.75" customHeight="1" x14ac:dyDescent="0.2">
      <c r="A7" s="5">
        <v>46122.709582824071</v>
      </c>
      <c r="B7" s="6" t="s">
        <v>40</v>
      </c>
      <c r="C7" s="6" t="s">
        <v>41</v>
      </c>
      <c r="D7" s="17" t="s">
        <v>15</v>
      </c>
      <c r="E7" t="str">
        <f ca="1">PROPER(Form_Responses34[[#This Row],[Location]])</f>
        <v xml:space="preserve">Lagos </v>
      </c>
      <c r="F7" s="12" t="s">
        <v>70</v>
      </c>
      <c r="G7" s="6">
        <v>5</v>
      </c>
      <c r="H7" s="6" t="s">
        <v>19</v>
      </c>
      <c r="I7" s="6" t="s">
        <v>25</v>
      </c>
      <c r="J7" s="6">
        <v>5</v>
      </c>
      <c r="K7" s="6">
        <v>5</v>
      </c>
      <c r="L7" s="6">
        <v>5</v>
      </c>
      <c r="M7" s="6" t="s">
        <v>19</v>
      </c>
      <c r="N7" s="6" t="s">
        <v>43</v>
      </c>
    </row>
    <row r="8" spans="1:14" ht="15.75" customHeight="1" x14ac:dyDescent="0.2">
      <c r="A8" s="5">
        <v>46122.800766863424</v>
      </c>
      <c r="B8" s="6" t="s">
        <v>44</v>
      </c>
      <c r="C8" s="6" t="s">
        <v>45</v>
      </c>
      <c r="D8" s="17" t="s">
        <v>15</v>
      </c>
      <c r="E8" t="str">
        <f ca="1">PROPER(Form_Responses34[[#This Row],[Location]])</f>
        <v>Lokoja</v>
      </c>
      <c r="F8" s="11" t="s">
        <v>72</v>
      </c>
      <c r="G8" s="6">
        <v>3</v>
      </c>
      <c r="H8" s="6" t="s">
        <v>24</v>
      </c>
      <c r="I8" s="6" t="s">
        <v>25</v>
      </c>
      <c r="J8" s="6">
        <v>5</v>
      </c>
      <c r="K8" s="6">
        <v>3</v>
      </c>
      <c r="L8" s="6">
        <v>3</v>
      </c>
      <c r="M8" s="6" t="s">
        <v>24</v>
      </c>
      <c r="N8" s="6" t="s">
        <v>47</v>
      </c>
    </row>
    <row r="9" spans="1:14" ht="15.75" customHeight="1" x14ac:dyDescent="0.2">
      <c r="A9" s="5">
        <v>46122.895821620376</v>
      </c>
      <c r="B9" s="6" t="s">
        <v>48</v>
      </c>
      <c r="C9" s="6" t="s">
        <v>49</v>
      </c>
      <c r="D9" s="17" t="s">
        <v>15</v>
      </c>
      <c r="E9" t="str">
        <f ca="1">PROPER(Form_Responses34[[#This Row],[Location]])</f>
        <v>Lagos</v>
      </c>
      <c r="F9" s="12" t="s">
        <v>69</v>
      </c>
      <c r="G9" s="6">
        <v>4</v>
      </c>
      <c r="H9" s="8" t="s">
        <v>19</v>
      </c>
      <c r="I9" s="6" t="s">
        <v>25</v>
      </c>
      <c r="J9" s="6">
        <v>4</v>
      </c>
      <c r="K9" s="6">
        <v>5</v>
      </c>
      <c r="L9" s="6">
        <v>4</v>
      </c>
      <c r="M9" s="6" t="s">
        <v>19</v>
      </c>
    </row>
    <row r="10" spans="1:14" ht="15.75" customHeight="1" x14ac:dyDescent="0.2">
      <c r="A10" s="5">
        <v>46123.883093194439</v>
      </c>
      <c r="B10" s="6" t="s">
        <v>51</v>
      </c>
      <c r="C10" s="6" t="s">
        <v>59</v>
      </c>
      <c r="D10" s="17" t="s">
        <v>15</v>
      </c>
      <c r="E10" t="str">
        <f ca="1">PROPER(Form_Responses34[[#This Row],[Location]])</f>
        <v>Lokoja</v>
      </c>
      <c r="F10" s="11" t="s">
        <v>71</v>
      </c>
      <c r="G10" s="6">
        <v>5</v>
      </c>
      <c r="H10" t="s">
        <v>17</v>
      </c>
      <c r="I10" s="6" t="s">
        <v>25</v>
      </c>
      <c r="J10" s="6">
        <v>5</v>
      </c>
      <c r="K10" s="6">
        <v>5</v>
      </c>
      <c r="L10" s="6">
        <v>5</v>
      </c>
      <c r="M10" s="6" t="s">
        <v>19</v>
      </c>
      <c r="N10" s="6" t="s">
        <v>53</v>
      </c>
    </row>
    <row r="11" spans="1:14" ht="15.75" customHeight="1" x14ac:dyDescent="0.2">
      <c r="A11" s="5">
        <v>46125.422557893515</v>
      </c>
      <c r="B11" s="6" t="s">
        <v>54</v>
      </c>
      <c r="C11" s="6" t="s">
        <v>55</v>
      </c>
      <c r="D11" s="17" t="s">
        <v>22</v>
      </c>
      <c r="E11" t="str">
        <f ca="1">PROPER(Form_Responses34[[#This Row],[Location]])</f>
        <v>Paiko</v>
      </c>
      <c r="F11" s="11" t="s">
        <v>69</v>
      </c>
      <c r="G11" s="6">
        <v>4</v>
      </c>
      <c r="H11" s="6" t="s">
        <v>19</v>
      </c>
      <c r="I11" s="6" t="s">
        <v>25</v>
      </c>
      <c r="J11" s="6">
        <v>1</v>
      </c>
      <c r="K11" s="6">
        <v>1</v>
      </c>
      <c r="L11" s="6">
        <v>1</v>
      </c>
      <c r="M11" s="6" t="s">
        <v>19</v>
      </c>
    </row>
    <row r="13" spans="1:14" ht="15.75" customHeight="1" x14ac:dyDescent="0.25">
      <c r="B13" s="13" t="s">
        <v>63</v>
      </c>
      <c r="C13" s="14">
        <f>AVERAGE(G2:G11)</f>
        <v>3.9</v>
      </c>
    </row>
    <row r="14" spans="1:14" ht="15.75" customHeight="1" x14ac:dyDescent="0.25">
      <c r="B14" s="13" t="s">
        <v>64</v>
      </c>
      <c r="C14" s="15">
        <f>COUNTIF(H2:H11,"Yes")/COUNTA(H2:H11)</f>
        <v>0.4</v>
      </c>
    </row>
    <row r="15" spans="1:14" ht="15.75" customHeight="1" x14ac:dyDescent="0.25">
      <c r="B15" s="13" t="s">
        <v>65</v>
      </c>
      <c r="C15" s="14">
        <f>AVERAGE(J2:J11)</f>
        <v>3.3</v>
      </c>
    </row>
    <row r="16" spans="1:14" ht="15.75" customHeight="1" x14ac:dyDescent="0.25">
      <c r="B16" s="13" t="s">
        <v>66</v>
      </c>
      <c r="C16" s="15">
        <f>COUNTIF(M2:M11,"Yes")/COUNTA(M2:M11)</f>
        <v>0.8</v>
      </c>
    </row>
    <row r="17" spans="1:14" ht="15.75" customHeight="1" x14ac:dyDescent="0.25">
      <c r="B17" s="13" t="s">
        <v>67</v>
      </c>
      <c r="C17" s="16" t="str" cm="1">
        <f t="array" ref="C17">INDEX(F2:F11, MATCH(MAX(COUNTIF(F2:F11, F2:F11)), COUNTIF(F2:F11, F2:F11), 0))</f>
        <v>Banking</v>
      </c>
    </row>
    <row r="19" spans="1:14" ht="15.75" customHeight="1" x14ac:dyDescent="0.2">
      <c r="A19" s="36" t="s">
        <v>94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</row>
    <row r="21" spans="1:14" ht="15.75" customHeight="1" x14ac:dyDescent="0.2">
      <c r="A21" s="37" t="s">
        <v>77</v>
      </c>
      <c r="B21" s="37"/>
      <c r="D21" s="35" t="s">
        <v>78</v>
      </c>
      <c r="E21" s="35"/>
      <c r="G21" s="35" t="s">
        <v>79</v>
      </c>
      <c r="H21" s="35"/>
      <c r="J21" s="38" t="s">
        <v>80</v>
      </c>
      <c r="K21" s="38"/>
    </row>
    <row r="22" spans="1:14" ht="15.75" customHeight="1" x14ac:dyDescent="0.2">
      <c r="A22" s="12" t="s">
        <v>75</v>
      </c>
      <c r="B22" s="12" t="s">
        <v>76</v>
      </c>
      <c r="D22" t="s">
        <v>73</v>
      </c>
      <c r="E22" t="s">
        <v>74</v>
      </c>
      <c r="G22" s="12" t="s">
        <v>68</v>
      </c>
      <c r="H22" s="12" t="s">
        <v>74</v>
      </c>
      <c r="J22" s="12" t="s">
        <v>81</v>
      </c>
      <c r="K22" s="12" t="s">
        <v>82</v>
      </c>
    </row>
    <row r="23" spans="1:14" ht="15.75" customHeight="1" x14ac:dyDescent="0.2">
      <c r="A23">
        <v>1</v>
      </c>
      <c r="B23">
        <f>COUNTIF(G2:G11, 1)</f>
        <v>0</v>
      </c>
      <c r="D23" t="s">
        <v>19</v>
      </c>
      <c r="E23">
        <f>COUNTIF(Analytics!H2:H11, "Yes")</f>
        <v>4</v>
      </c>
      <c r="G23" t="s">
        <v>69</v>
      </c>
      <c r="H23">
        <f>COUNTIF(F2:F11, "Banking")</f>
        <v>4</v>
      </c>
      <c r="J23">
        <v>1</v>
      </c>
      <c r="K23">
        <v>1</v>
      </c>
    </row>
    <row r="24" spans="1:14" ht="15.75" customHeight="1" x14ac:dyDescent="0.2">
      <c r="A24">
        <v>2</v>
      </c>
      <c r="B24">
        <f>COUNTIF(G2:G11, 2)</f>
        <v>1</v>
      </c>
      <c r="D24" t="s">
        <v>17</v>
      </c>
      <c r="E24">
        <f>COUNTIF(Analytics!H2:H11, "No")</f>
        <v>2</v>
      </c>
      <c r="G24" t="s">
        <v>72</v>
      </c>
      <c r="H24">
        <f>COUNTIF(F2:F11, "Support Desk")</f>
        <v>2</v>
      </c>
      <c r="J24">
        <v>2</v>
      </c>
      <c r="K24">
        <v>2</v>
      </c>
    </row>
    <row r="25" spans="1:14" ht="15.75" customHeight="1" x14ac:dyDescent="0.2">
      <c r="A25">
        <v>3</v>
      </c>
      <c r="B25">
        <f>COUNTIF(G2:G11, 3)</f>
        <v>2</v>
      </c>
      <c r="D25" t="s">
        <v>24</v>
      </c>
      <c r="E25">
        <f>COUNTIF(Analytics!H2:H11, "Maybe")</f>
        <v>4</v>
      </c>
      <c r="G25" t="s">
        <v>71</v>
      </c>
      <c r="H25">
        <f>COUNTIF(F2:F11, "Online Service")</f>
        <v>2</v>
      </c>
      <c r="J25">
        <v>3</v>
      </c>
      <c r="K25">
        <v>3</v>
      </c>
    </row>
    <row r="26" spans="1:14" ht="15.75" customHeight="1" x14ac:dyDescent="0.2">
      <c r="A26">
        <v>4</v>
      </c>
      <c r="B26">
        <f>COUNTIF(G2:G11, 4)</f>
        <v>4</v>
      </c>
      <c r="G26" s="12" t="s">
        <v>70</v>
      </c>
      <c r="H26">
        <f>COUNTIF(F2:F11, "Retail")</f>
        <v>2</v>
      </c>
      <c r="J26">
        <v>4</v>
      </c>
      <c r="K26">
        <v>4</v>
      </c>
    </row>
    <row r="27" spans="1:14" ht="15.75" customHeight="1" x14ac:dyDescent="0.2">
      <c r="A27">
        <v>5</v>
      </c>
      <c r="B27">
        <f>COUNTIF(G2:G11, 5)</f>
        <v>3</v>
      </c>
      <c r="J27">
        <v>5</v>
      </c>
      <c r="K27">
        <v>5</v>
      </c>
    </row>
    <row r="30" spans="1:14" ht="15.75" customHeight="1" x14ac:dyDescent="0.2">
      <c r="A30" s="34" t="s">
        <v>93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1:14" ht="15.75" customHeight="1" x14ac:dyDescent="0.2">
      <c r="A31" s="27"/>
    </row>
    <row r="32" spans="1:14" ht="15.75" customHeight="1" x14ac:dyDescent="0.2">
      <c r="B32" s="26" t="s">
        <v>100</v>
      </c>
      <c r="C32">
        <f>AVERAGE(Form_Responses34[How satisfied are you?])</f>
        <v>3.9</v>
      </c>
    </row>
    <row r="33" spans="2:3" ht="15.75" customHeight="1" x14ac:dyDescent="0.2">
      <c r="B33" s="26" t="s">
        <v>92</v>
      </c>
      <c r="C33">
        <f>GETPIVOTDATA("How satisfied are you?",'BUSINESS INSIGHTS'!$A$16,"Service Used","Banking")</f>
        <v>4</v>
      </c>
    </row>
    <row r="34" spans="2:3" ht="15.75" customHeight="1" x14ac:dyDescent="0.2">
      <c r="B34" s="28" t="s">
        <v>96</v>
      </c>
      <c r="C34">
        <f>GETPIVOTDATA("Service Speed",'BUSINESS INSIGHTS'!$E$16,"Location","Lokoja")</f>
        <v>12</v>
      </c>
    </row>
    <row r="35" spans="2:3" ht="15.75" customHeight="1" x14ac:dyDescent="0.2">
      <c r="B35" s="26" t="s">
        <v>99</v>
      </c>
      <c r="C35" t="str">
        <f>C17</f>
        <v>Banking</v>
      </c>
    </row>
    <row r="36" spans="2:3" ht="15.75" customHeight="1" x14ac:dyDescent="0.2">
      <c r="B36" t="s">
        <v>66</v>
      </c>
      <c r="C36" s="29">
        <f>C16</f>
        <v>0.8</v>
      </c>
    </row>
    <row r="37" spans="2:3" ht="15.75" customHeight="1" x14ac:dyDescent="0.2">
      <c r="B37" t="s">
        <v>64</v>
      </c>
      <c r="C37" s="29">
        <f>C14</f>
        <v>0.4</v>
      </c>
    </row>
  </sheetData>
  <mergeCells count="6">
    <mergeCell ref="A30:N30"/>
    <mergeCell ref="D21:E21"/>
    <mergeCell ref="A19:N19"/>
    <mergeCell ref="A21:B21"/>
    <mergeCell ref="G21:H21"/>
    <mergeCell ref="J21:K21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46D5-3211-423C-96B2-ED4A52A6DCE8}">
  <dimension ref="A2:F25"/>
  <sheetViews>
    <sheetView workbookViewId="0">
      <selection activeCell="H9" sqref="H9"/>
    </sheetView>
  </sheetViews>
  <sheetFormatPr defaultRowHeight="12.75" x14ac:dyDescent="0.2"/>
  <cols>
    <col min="1" max="1" width="12.85546875" bestFit="1" customWidth="1"/>
    <col min="2" max="2" width="26.42578125" bestFit="1" customWidth="1"/>
    <col min="5" max="5" width="15.85546875" bestFit="1" customWidth="1"/>
    <col min="6" max="6" width="19.28515625" bestFit="1" customWidth="1"/>
  </cols>
  <sheetData>
    <row r="2" spans="1:6" ht="15.75" x14ac:dyDescent="0.2">
      <c r="A2" s="39" t="s">
        <v>88</v>
      </c>
      <c r="B2" s="39"/>
      <c r="E2" s="40" t="s">
        <v>89</v>
      </c>
      <c r="F2" s="41"/>
    </row>
    <row r="3" spans="1:6" x14ac:dyDescent="0.2">
      <c r="A3" s="18" t="s">
        <v>83</v>
      </c>
      <c r="B3" s="19" t="s">
        <v>85</v>
      </c>
      <c r="E3" s="18" t="s">
        <v>83</v>
      </c>
      <c r="F3" s="19" t="s">
        <v>91</v>
      </c>
    </row>
    <row r="4" spans="1:6" x14ac:dyDescent="0.2">
      <c r="A4" s="20" t="s">
        <v>69</v>
      </c>
      <c r="B4" s="21">
        <v>3.5</v>
      </c>
      <c r="E4" s="20" t="s">
        <v>23</v>
      </c>
      <c r="F4" s="21">
        <v>4</v>
      </c>
    </row>
    <row r="5" spans="1:6" x14ac:dyDescent="0.2">
      <c r="A5" s="22" t="s">
        <v>71</v>
      </c>
      <c r="B5" s="23">
        <v>4</v>
      </c>
      <c r="E5" s="22" t="s">
        <v>33</v>
      </c>
      <c r="F5" s="23">
        <v>3</v>
      </c>
    </row>
    <row r="6" spans="1:6" x14ac:dyDescent="0.2">
      <c r="A6" s="22" t="s">
        <v>70</v>
      </c>
      <c r="B6" s="23">
        <v>5</v>
      </c>
      <c r="E6" s="22" t="s">
        <v>86</v>
      </c>
      <c r="F6" s="23">
        <v>3</v>
      </c>
    </row>
    <row r="7" spans="1:6" x14ac:dyDescent="0.2">
      <c r="A7" s="22" t="s">
        <v>72</v>
      </c>
      <c r="B7" s="23">
        <v>3.5</v>
      </c>
      <c r="E7" s="22" t="s">
        <v>50</v>
      </c>
      <c r="F7" s="23">
        <v>4</v>
      </c>
    </row>
    <row r="8" spans="1:6" x14ac:dyDescent="0.2">
      <c r="A8" s="24" t="s">
        <v>84</v>
      </c>
      <c r="B8" s="25">
        <v>3.9</v>
      </c>
      <c r="E8" s="22" t="s">
        <v>42</v>
      </c>
      <c r="F8" s="23">
        <v>5</v>
      </c>
    </row>
    <row r="9" spans="1:6" x14ac:dyDescent="0.2">
      <c r="E9" s="22" t="s">
        <v>46</v>
      </c>
      <c r="F9" s="23">
        <v>5</v>
      </c>
    </row>
    <row r="10" spans="1:6" x14ac:dyDescent="0.2">
      <c r="E10" s="22" t="s">
        <v>87</v>
      </c>
      <c r="F10" s="23">
        <v>1</v>
      </c>
    </row>
    <row r="11" spans="1:6" x14ac:dyDescent="0.2">
      <c r="E11" s="22" t="s">
        <v>56</v>
      </c>
      <c r="F11" s="23">
        <v>1</v>
      </c>
    </row>
    <row r="12" spans="1:6" x14ac:dyDescent="0.2">
      <c r="E12" s="24" t="s">
        <v>84</v>
      </c>
      <c r="F12" s="25">
        <v>5</v>
      </c>
    </row>
    <row r="15" spans="1:6" ht="15.75" x14ac:dyDescent="0.2">
      <c r="A15" s="42" t="s">
        <v>97</v>
      </c>
      <c r="B15" s="42"/>
      <c r="E15" s="42" t="s">
        <v>98</v>
      </c>
      <c r="F15" s="42"/>
    </row>
    <row r="16" spans="1:6" x14ac:dyDescent="0.2">
      <c r="A16" s="18" t="s">
        <v>83</v>
      </c>
      <c r="B16" s="19" t="s">
        <v>95</v>
      </c>
      <c r="E16" s="18" t="s">
        <v>83</v>
      </c>
      <c r="F16" s="19" t="s">
        <v>90</v>
      </c>
    </row>
    <row r="17" spans="1:6" x14ac:dyDescent="0.2">
      <c r="A17" s="20" t="s">
        <v>69</v>
      </c>
      <c r="B17" s="21">
        <v>4</v>
      </c>
      <c r="E17" s="20" t="s">
        <v>23</v>
      </c>
      <c r="F17" s="21">
        <v>4</v>
      </c>
    </row>
    <row r="18" spans="1:6" x14ac:dyDescent="0.2">
      <c r="A18" s="22" t="s">
        <v>71</v>
      </c>
      <c r="B18" s="23">
        <v>5</v>
      </c>
      <c r="E18" s="22" t="s">
        <v>33</v>
      </c>
      <c r="F18" s="23">
        <v>3</v>
      </c>
    </row>
    <row r="19" spans="1:6" x14ac:dyDescent="0.2">
      <c r="A19" s="22" t="s">
        <v>70</v>
      </c>
      <c r="B19" s="23">
        <v>5</v>
      </c>
      <c r="E19" s="22" t="s">
        <v>86</v>
      </c>
      <c r="F19" s="23">
        <v>3</v>
      </c>
    </row>
    <row r="20" spans="1:6" x14ac:dyDescent="0.2">
      <c r="A20" s="22" t="s">
        <v>72</v>
      </c>
      <c r="B20" s="23">
        <v>4</v>
      </c>
      <c r="E20" s="22" t="s">
        <v>50</v>
      </c>
      <c r="F20" s="23">
        <v>4</v>
      </c>
    </row>
    <row r="21" spans="1:6" x14ac:dyDescent="0.2">
      <c r="A21" s="24" t="s">
        <v>84</v>
      </c>
      <c r="B21" s="25">
        <v>5</v>
      </c>
      <c r="E21" s="22" t="s">
        <v>42</v>
      </c>
      <c r="F21" s="23">
        <v>5</v>
      </c>
    </row>
    <row r="22" spans="1:6" x14ac:dyDescent="0.2">
      <c r="E22" s="22" t="s">
        <v>46</v>
      </c>
      <c r="F22" s="23">
        <v>12</v>
      </c>
    </row>
    <row r="23" spans="1:6" x14ac:dyDescent="0.2">
      <c r="E23" s="22" t="s">
        <v>87</v>
      </c>
      <c r="F23" s="23">
        <v>1</v>
      </c>
    </row>
    <row r="24" spans="1:6" x14ac:dyDescent="0.2">
      <c r="E24" s="22" t="s">
        <v>56</v>
      </c>
      <c r="F24" s="23">
        <v>1</v>
      </c>
    </row>
    <row r="25" spans="1:6" x14ac:dyDescent="0.2">
      <c r="E25" s="24" t="s">
        <v>84</v>
      </c>
      <c r="F25" s="25">
        <v>33</v>
      </c>
    </row>
  </sheetData>
  <mergeCells count="4">
    <mergeCell ref="A2:B2"/>
    <mergeCell ref="E2:F2"/>
    <mergeCell ref="A15:B15"/>
    <mergeCell ref="E15:F15"/>
  </mergeCell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91BD-250C-4725-B185-746C4B9CC9A4}">
  <dimension ref="A1:M11"/>
  <sheetViews>
    <sheetView showGridLines="0" topLeftCell="A12" zoomScaleNormal="100" workbookViewId="0">
      <selection activeCell="A13" sqref="A13:C15"/>
    </sheetView>
  </sheetViews>
  <sheetFormatPr defaultRowHeight="15.75" customHeight="1" x14ac:dyDescent="0.2"/>
  <cols>
    <col min="1" max="1" width="20.7109375" bestFit="1" customWidth="1"/>
    <col min="2" max="2" width="30.140625" bestFit="1" customWidth="1"/>
    <col min="3" max="3" width="23" bestFit="1" customWidth="1"/>
    <col min="4" max="4" width="13" bestFit="1" customWidth="1"/>
    <col min="5" max="5" width="16.28515625" bestFit="1" customWidth="1"/>
    <col min="6" max="6" width="25.85546875" bestFit="1" customWidth="1"/>
    <col min="7" max="7" width="28.85546875" bestFit="1" customWidth="1"/>
    <col min="8" max="8" width="24" bestFit="1" customWidth="1"/>
    <col min="9" max="9" width="16.7109375" bestFit="1" customWidth="1"/>
    <col min="10" max="10" width="25.85546875" bestFit="1" customWidth="1"/>
    <col min="11" max="11" width="14.42578125" bestFit="1" customWidth="1"/>
    <col min="12" max="12" width="30.140625" bestFit="1" customWidth="1"/>
    <col min="13" max="13" width="24.42578125" bestFit="1" customWidth="1"/>
    <col min="14" max="14" width="24.42578125" customWidth="1"/>
  </cols>
  <sheetData>
    <row r="1" spans="1:13" s="10" customFormat="1" ht="15.75" customHeight="1" x14ac:dyDescent="0.2">
      <c r="E1" s="9"/>
      <c r="F1" s="9"/>
      <c r="G1" s="9"/>
      <c r="H1" s="9"/>
      <c r="I1" s="9"/>
      <c r="J1" s="9"/>
      <c r="K1" s="9"/>
      <c r="L1" s="9"/>
      <c r="M1" s="9"/>
    </row>
    <row r="2" spans="1:13" ht="15.75" customHeight="1" x14ac:dyDescent="0.2">
      <c r="F2" s="6"/>
      <c r="G2" s="6"/>
      <c r="H2" s="6"/>
      <c r="I2" s="6"/>
      <c r="J2" s="6"/>
      <c r="K2" s="6"/>
      <c r="L2" s="6"/>
      <c r="M2" s="6"/>
    </row>
    <row r="3" spans="1:13" ht="15.75" customHeight="1" x14ac:dyDescent="0.2">
      <c r="F3" s="6"/>
      <c r="G3" s="6"/>
      <c r="H3" s="6"/>
      <c r="I3" s="6"/>
      <c r="J3" s="6"/>
      <c r="K3" s="6"/>
      <c r="L3" s="6"/>
      <c r="M3" s="6"/>
    </row>
    <row r="4" spans="1:13" ht="15.75" customHeight="1" x14ac:dyDescent="0.2">
      <c r="F4" s="6"/>
      <c r="G4" s="6"/>
      <c r="H4" s="6"/>
      <c r="I4" s="6"/>
      <c r="J4" s="6"/>
      <c r="K4" s="6"/>
      <c r="L4" s="6"/>
      <c r="M4" s="6"/>
    </row>
    <row r="5" spans="1:13" ht="15.75" customHeight="1" x14ac:dyDescent="0.2">
      <c r="F5" s="6"/>
      <c r="G5" s="6"/>
      <c r="H5" s="6"/>
      <c r="I5" s="6"/>
      <c r="J5" s="6"/>
      <c r="K5" s="6"/>
      <c r="L5" s="6"/>
      <c r="M5" s="6"/>
    </row>
    <row r="6" spans="1:13" ht="15.75" customHeight="1" x14ac:dyDescent="0.2">
      <c r="A6" s="5"/>
      <c r="B6" s="6"/>
      <c r="C6" s="6"/>
      <c r="D6" s="7"/>
      <c r="F6" s="6"/>
      <c r="G6" s="6"/>
      <c r="H6" s="6"/>
      <c r="I6" s="6"/>
      <c r="J6" s="6"/>
      <c r="K6" s="6"/>
      <c r="L6" s="6"/>
      <c r="M6" s="6"/>
    </row>
    <row r="7" spans="1:13" ht="15.75" customHeight="1" x14ac:dyDescent="0.2">
      <c r="A7" s="5"/>
      <c r="B7" s="6"/>
      <c r="C7" s="6"/>
      <c r="D7" s="7"/>
      <c r="F7" s="6"/>
      <c r="G7" s="6"/>
      <c r="H7" s="6"/>
      <c r="I7" s="6"/>
      <c r="J7" s="6"/>
      <c r="K7" s="6"/>
      <c r="L7" s="6"/>
      <c r="M7" s="6"/>
    </row>
    <row r="8" spans="1:13" ht="15.75" customHeight="1" x14ac:dyDescent="0.2">
      <c r="A8" s="5"/>
      <c r="B8" s="6"/>
      <c r="C8" s="6"/>
      <c r="D8" s="7"/>
      <c r="F8" s="6"/>
      <c r="G8" s="6"/>
      <c r="H8" s="6"/>
      <c r="I8" s="6"/>
      <c r="J8" s="6"/>
      <c r="K8" s="6"/>
      <c r="L8" s="6"/>
      <c r="M8" s="6"/>
    </row>
    <row r="9" spans="1:13" ht="15.75" customHeight="1" x14ac:dyDescent="0.2">
      <c r="A9" s="5"/>
      <c r="B9" s="6"/>
      <c r="C9" s="6"/>
      <c r="D9" s="7"/>
      <c r="F9" s="6"/>
      <c r="G9" s="8"/>
      <c r="H9" s="6"/>
      <c r="I9" s="6"/>
      <c r="J9" s="6"/>
      <c r="K9" s="6"/>
      <c r="L9" s="6"/>
    </row>
    <row r="10" spans="1:13" ht="15.75" customHeight="1" x14ac:dyDescent="0.2">
      <c r="A10" s="5"/>
      <c r="B10" s="6"/>
      <c r="C10" s="6"/>
      <c r="D10" s="7"/>
      <c r="F10" s="6"/>
      <c r="H10" s="6"/>
      <c r="I10" s="6"/>
      <c r="J10" s="6"/>
      <c r="K10" s="6"/>
      <c r="L10" s="6"/>
      <c r="M10" s="6"/>
    </row>
    <row r="11" spans="1:13" ht="15.75" customHeight="1" x14ac:dyDescent="0.2">
      <c r="A11" s="5"/>
      <c r="B11" s="6"/>
      <c r="C11" s="6"/>
      <c r="D11" s="7"/>
      <c r="F11" s="6"/>
      <c r="G11" s="6"/>
      <c r="H11" s="6"/>
      <c r="I11" s="6"/>
      <c r="J11" s="6"/>
      <c r="K11" s="6"/>
      <c r="L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Raw Data(From Google Form)</vt:lpstr>
      <vt:lpstr>Cleaned Data</vt:lpstr>
      <vt:lpstr>Analytics</vt:lpstr>
      <vt:lpstr>BUSINESS 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OKafor</dc:creator>
  <cp:lastModifiedBy>USER</cp:lastModifiedBy>
  <dcterms:created xsi:type="dcterms:W3CDTF">2026-04-21T09:15:50Z</dcterms:created>
  <dcterms:modified xsi:type="dcterms:W3CDTF">2026-04-21T13:29:09Z</dcterms:modified>
</cp:coreProperties>
</file>